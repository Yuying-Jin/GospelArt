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Sheet1" sheetId="1" r:id="rId1"/>
  </sheets>
  <definedNames>
    <definedName name="_xlnm._FilterDatabase" localSheetId="0" hidden="1">Sheet1!$A$2:$M$303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409]mmmm\ d\,\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ropbox.com/scl/fi/ktl3monte8laadphpp8b2/IMG_1712.JPG?rlkey=5kwq2zr6s6286yrdrtmq3tumn&amp;amp;dl=0" TargetMode="External"/><Relationship Id="rId2" Type="http://schemas.openxmlformats.org/officeDocument/2006/relationships/hyperlink" Target="https://www.dropbox.com/scl/fi/23evtu819s7kj4oa9au5i/IMG_1715.JPG?rlkey=jwxtvsiobduv9h02a4ruj3ul8&amp;amp;dl=0" TargetMode="External"/><Relationship Id="rId3" Type="http://schemas.openxmlformats.org/officeDocument/2006/relationships/hyperlink" Target="https://www.dropbox.com/scl/fi/fuscsc1zml46nsnhbz9ym/IMG_1719.JPG?rlkey=hetm5fgk5oje07zn4ob8s4soa&amp;amp;dl=0" TargetMode="External"/><Relationship Id="rId4" Type="http://schemas.openxmlformats.org/officeDocument/2006/relationships/hyperlink" Target="https://www.dropbox.com/scl/fi/5l13rapso5iczkp564kmf/IMG_1726.JPG?rlkey=y3wyh0yo9wtkxvpmcrxsk0ph2&amp;amp;dl=0" TargetMode="External"/><Relationship Id="rId5" Type="http://schemas.openxmlformats.org/officeDocument/2006/relationships/hyperlink" Target="https://www.dropbox.com/scl/fi/azy7h6qa4nn838vn1uxj0/IMG_1731.JPG?rlkey=borq4ac4ogurq0ns33zxldvxf&amp;amp;dl=0" TargetMode="External"/><Relationship Id="rId6" Type="http://schemas.openxmlformats.org/officeDocument/2006/relationships/hyperlink" Target="https://www.dropbox.com/scl/fi/j77y7cfpdfmzjehv619um/IMG_1732.JPG?rlkey=qfbl59dr95mecsx8ihbuty6pq&amp;amp;dl=0" TargetMode="External"/><Relationship Id="rId7" Type="http://schemas.openxmlformats.org/officeDocument/2006/relationships/hyperlink" Target="https://www.dropbox.com/scl/fi/txfnqd0hvpx06smaq3n83/IMG_1739.JPG?rlkey=fimsgiqrk9h4xlozhjvf60ujd&amp;amp;dl=0" TargetMode="External"/><Relationship Id="rId8" Type="http://schemas.openxmlformats.org/officeDocument/2006/relationships/hyperlink" Target="https://www.dropbox.com/scl/fi/e7my7dhqbzpuuexvev10j/IMG_1741.JPG?rlkey=5ih1y1pwec0pj8xqwvi9mqnyd&amp;amp;dl=0" TargetMode="External"/><Relationship Id="rId9" Type="http://schemas.openxmlformats.org/officeDocument/2006/relationships/hyperlink" Target="https://www.dropbox.com/scl/fi/ibmm9mplkgc5zypffgb9b/IMG_1749.JPG?rlkey=7uin6k512lo6cnq0u1ipwtj3s&amp;amp;dl=0" TargetMode="External"/><Relationship Id="rId10" Type="http://schemas.openxmlformats.org/officeDocument/2006/relationships/hyperlink" Target="https://www.dropbox.com/scl/fi/obc2j72figuvwjpkgbbgn/IMG_1755.JPG?rlkey=sthel07sonsws052vnlb6wbss&amp;amp;dl=0" TargetMode="External"/><Relationship Id="rId11" Type="http://schemas.openxmlformats.org/officeDocument/2006/relationships/hyperlink" Target="https://www.dropbox.com/scl/fi/xu0vc541xxwpnwuvf5oj3/IMG_1756.JPG?rlkey=c85qeal6tmgokzsn5sz20sjpj&amp;amp;dl=0" TargetMode="External"/><Relationship Id="rId12" Type="http://schemas.openxmlformats.org/officeDocument/2006/relationships/hyperlink" Target="https://www.dropbox.com/scl/fi/sgh8sxfm5qlz6chr7dz9t/IMG_1757.JPG?rlkey=2qgph8c22ouzj35nw92d290vw&amp;amp;dl=0" TargetMode="External"/><Relationship Id="rId13" Type="http://schemas.openxmlformats.org/officeDocument/2006/relationships/hyperlink" Target="https://www.dropbox.com/scl/fi/x14rtyx5ux6m4123qvt6g/IMG_1759.JPG?rlkey=3xv67szdjri3ed244jtfer5b5&amp;amp;dl=0" TargetMode="External"/><Relationship Id="rId14" Type="http://schemas.openxmlformats.org/officeDocument/2006/relationships/hyperlink" Target="https://www.dropbox.com/scl/fi/d96j4nd9ss2y50xwvzeun/IMG_1761.JPG?rlkey=2rp7k4d3hsdznm48s0hf48qot&amp;amp;dl=0" TargetMode="External"/><Relationship Id="rId15" Type="http://schemas.openxmlformats.org/officeDocument/2006/relationships/hyperlink" Target="https://www.dropbox.com/scl/fi/4n08uf5i5lr9dpy634rii/IMG_1763.JPG?rlkey=17oq3vbx0zi33pboy0dnb3bhs&amp;amp;dl=0" TargetMode="External"/><Relationship Id="rId16" Type="http://schemas.openxmlformats.org/officeDocument/2006/relationships/hyperlink" Target="https://www.dropbox.com/scl/fi/y7a3zyvp8jms0zh920xk5/IMG_1764.JPG?rlkey=47mhy5s7vg7nkdnox71jihrxn&amp;amp;dl=0" TargetMode="External"/><Relationship Id="rId17" Type="http://schemas.openxmlformats.org/officeDocument/2006/relationships/hyperlink" Target="https://www.dropbox.com/scl/fi/bhv4pio9zuj15ok6tnypb/IMG_1769.JPG?rlkey=ehacx6c5w2onju15xqfatrfbo&amp;amp;dl=0" TargetMode="External"/><Relationship Id="rId18" Type="http://schemas.openxmlformats.org/officeDocument/2006/relationships/hyperlink" Target="https://www.dropbox.com/scl/fi/oubjvmgomsruh20rxlbp2/IMG_1770.JPG?rlkey=v6gayt575dwtxuuewmnytj45z&amp;amp;dl=0" TargetMode="External"/><Relationship Id="rId19" Type="http://schemas.openxmlformats.org/officeDocument/2006/relationships/hyperlink" Target="https://www.dropbox.com/scl/fi/36rpt4jjdbel8afghtl4u/IMG_1774.JPG?rlkey=xg7pajn7dxzcj2l1zff0asc6n&amp;amp;dl=0" TargetMode="External"/><Relationship Id="rId20" Type="http://schemas.openxmlformats.org/officeDocument/2006/relationships/hyperlink" Target="https://www.dropbox.com/scl/fi/ukw45ketr34573bl2nus2/IMG_1779.JPG?rlkey=trha779m431h08bt4k41s7s5h&amp;amp;dl=0" TargetMode="External"/><Relationship Id="rId21" Type="http://schemas.openxmlformats.org/officeDocument/2006/relationships/hyperlink" Target="https://www.dropbox.com/scl/fi/j4qxky95uz4g8c38138gn/IMG_1781.JPG?rlkey=5077zzlzixmoal4ee54eh4f7n&amp;amp;dl=0" TargetMode="External"/><Relationship Id="rId22" Type="http://schemas.openxmlformats.org/officeDocument/2006/relationships/hyperlink" Target="https://www.dropbox.com/scl/fi/0gqs3zbkrhwsnkqvedo8n/IMG_1782.JPG?rlkey=npf4xp0lksfi46eeptmbkrco4&amp;amp;dl=0" TargetMode="External"/><Relationship Id="rId23" Type="http://schemas.openxmlformats.org/officeDocument/2006/relationships/hyperlink" Target="https://www.dropbox.com/scl/fi/8omkrpu5ylz73m0sab688/IMG_1784.JPG?rlkey=3ru77nyhg4u358k3wifam224n&amp;amp;dl=0" TargetMode="External"/><Relationship Id="rId24" Type="http://schemas.openxmlformats.org/officeDocument/2006/relationships/hyperlink" Target="https://www.dropbox.com/scl/fi/pslt8op7gknpd715coyez/IMG_1786.JPG?rlkey=r5mk75w29eibqb2ur4fyj6fug&amp;amp;dl=0" TargetMode="External"/><Relationship Id="rId25" Type="http://schemas.openxmlformats.org/officeDocument/2006/relationships/hyperlink" Target="https://www.dropbox.com/scl/fi/u9t2n007vpuqwelz6jhx2/IMG_1789.JPG?rlkey=8jv6d108no8us54i4ugt8xg7x&amp;amp;dl=0" TargetMode="External"/><Relationship Id="rId26" Type="http://schemas.openxmlformats.org/officeDocument/2006/relationships/hyperlink" Target="https://www.dropbox.com/scl/fi/0jgbd3hp2k7da5uv8qwzr/IMG_1791.JPG?rlkey=vtdytvy4efbvvlixhh8enhydr&amp;amp;dl=0" TargetMode="External"/><Relationship Id="rId27" Type="http://schemas.openxmlformats.org/officeDocument/2006/relationships/hyperlink" Target="https://www.dropbox.com/scl/fi/gexdb2namt0zheldsolc7/IMG_1797.JPG?rlkey=2ye94bgwn3ew1i635s93623fe&amp;amp;dl=0" TargetMode="External"/><Relationship Id="rId28" Type="http://schemas.openxmlformats.org/officeDocument/2006/relationships/hyperlink" Target="https://www.dropbox.com/scl/fi/gxcf71qpl11y3zmv2gwvw/IMG_1798.JPG?rlkey=3wra5us9jxnkqy3jelxnc22st&amp;amp;dl=0" TargetMode="External"/><Relationship Id="rId29" Type="http://schemas.openxmlformats.org/officeDocument/2006/relationships/hyperlink" Target="https://www.dropbox.com/scl/fi/o0wnlybo0t4v23lbg4mwy/IMG_1800.JPG?rlkey=zchajzxno3q5qqqdu4o4azx32&amp;amp;dl=0" TargetMode="External"/><Relationship Id="rId30" Type="http://schemas.openxmlformats.org/officeDocument/2006/relationships/hyperlink" Target="https://www.dropbox.com/scl/fi/a6e6gcfb7waqemo27fza5/IMG_1804.JPG?rlkey=dlosuy5hk9gqyiygimt25d96w&amp;amp;dl=0" TargetMode="External"/><Relationship Id="rId31" Type="http://schemas.openxmlformats.org/officeDocument/2006/relationships/hyperlink" Target="https://www.dropbox.com/scl/fi/kua9apfnzkk24xmbjkcs0/IMG_1805.JPG?rlkey=v2ng20oe9cpsp69z66ttc42ax&amp;amp;dl=0" TargetMode="External"/><Relationship Id="rId32" Type="http://schemas.openxmlformats.org/officeDocument/2006/relationships/hyperlink" Target="https://www.dropbox.com/scl/fi/dr4vsq6xl5qpf010bgiyw/IMG_1806.JPG?rlkey=otezwxeajwy5zw8nrj5uptmsa&amp;amp;dl=0" TargetMode="External"/><Relationship Id="rId33" Type="http://schemas.openxmlformats.org/officeDocument/2006/relationships/hyperlink" Target="https://www.dropbox.com/scl/fi/6q8zcxpqaonid4iiz2xxk/IMG_1810.JPG?rlkey=odineqdhuyc746t4hrkemg6dk&amp;amp;dl=0" TargetMode="External"/><Relationship Id="rId34" Type="http://schemas.openxmlformats.org/officeDocument/2006/relationships/hyperlink" Target="https://www.dropbox.com/scl/fi/zb9ontcauxguolvod7w1a/IMG_1809.JPG?rlkey=dwwmptqgt8ve3pwsgwykcxkcy&amp;amp;dl=0" TargetMode="External"/><Relationship Id="rId35" Type="http://schemas.openxmlformats.org/officeDocument/2006/relationships/hyperlink" Target="https://www.dropbox.com/scl/fi/xl0dxzm17z81tnjr95scc/IMG_1812.JPG?rlkey=de55cp2r3j5wwari7kwxfpcd2&amp;amp;dl=0" TargetMode="External"/><Relationship Id="rId36" Type="http://schemas.openxmlformats.org/officeDocument/2006/relationships/hyperlink" Target="https://www.dropbox.com/scl/fi/pt9g9xu7n4uoa91yvqeyu/IMG_1814.JPG?rlkey=dar1k3zbg4lqes2tjf71jxv7z&amp;amp;dl=0" TargetMode="External"/><Relationship Id="rId37" Type="http://schemas.openxmlformats.org/officeDocument/2006/relationships/hyperlink" Target="https://www.dropbox.com/scl/fi/zcfgjk1x7w1my50xr0s2e/IMG_1816.JPG?rlkey=zw6ofwnfzt5266lnet3w7fple&amp;amp;dl=0" TargetMode="External"/><Relationship Id="rId38" Type="http://schemas.openxmlformats.org/officeDocument/2006/relationships/hyperlink" Target="https://www.dropbox.com/scl/fi/pidkjikqx9h8jb7tf4p5j/IMG_1819.JPG?rlkey=jgecuzihluskii12frsydw762&amp;amp;dl=0" TargetMode="External"/><Relationship Id="rId39" Type="http://schemas.openxmlformats.org/officeDocument/2006/relationships/hyperlink" Target="https://www.dropbox.com/scl/fi/stcic948oilz7a61x70s1/IMG_1820.JPG?rlkey=amc81pt1q6zlj00yye5127x1a&amp;amp;dl=0" TargetMode="External"/><Relationship Id="rId40" Type="http://schemas.openxmlformats.org/officeDocument/2006/relationships/hyperlink" Target="https://www.dropbox.com/scl/fi/0srn5f5ikt75wtlg31okz/IMG_1823.JPG?rlkey=pv8yjqzm6s1qi9j034907lkvd&amp;amp;dl=0" TargetMode="External"/><Relationship Id="rId41" Type="http://schemas.openxmlformats.org/officeDocument/2006/relationships/hyperlink" Target="https://www.dropbox.com/scl/fi/sssewmga8dbelm8591hhg/IMG_1824.JPG?rlkey=g0d1wnmxxytjae0uaairsbdqd&amp;amp;dl=0" TargetMode="External"/><Relationship Id="rId42" Type="http://schemas.openxmlformats.org/officeDocument/2006/relationships/hyperlink" Target="https://www.dropbox.com/scl/fi/ncbk9lu0qjnn4jzsi3b52/IMG_1828.JPG?rlkey=t5e79lrksl0dry7qb7cge0g4n&amp;amp;dl=0" TargetMode="External"/><Relationship Id="rId43" Type="http://schemas.openxmlformats.org/officeDocument/2006/relationships/hyperlink" Target="https://www.dropbox.com/scl/fi/wp5sxgup6dl7yqd5gffvo/IMG_1827.JPG?rlkey=hwfzsewycdhlf9yi87sb6q2n0&amp;amp;dl=0" TargetMode="External"/><Relationship Id="rId44" Type="http://schemas.openxmlformats.org/officeDocument/2006/relationships/hyperlink" Target="https://www.dropbox.com/scl/fi/ih0fge79nyzb0i2jdrgtc/IMG_1832.JPG?rlkey=ejwvnjztbvhn9n76wbh59f2k5&amp;amp;dl=0" TargetMode="External"/><Relationship Id="rId45" Type="http://schemas.openxmlformats.org/officeDocument/2006/relationships/hyperlink" Target="https://www.dropbox.com/scl/fi/lwfhbnbzbmg764b11qfiu/IMG_2627.JPG?rlkey=rodw4lvndqrh0n1r5zr768a37&amp;amp;dl=0" TargetMode="External"/><Relationship Id="rId46" Type="http://schemas.openxmlformats.org/officeDocument/2006/relationships/hyperlink" Target="https://www.dropbox.com/scl/fi/3eobigrav5trrwbq46u0j/IMG_1834.JPG?rlkey=mbd9uwcfx6zglfxhugeqo2iek&amp;amp;dl=0" TargetMode="External"/><Relationship Id="rId47" Type="http://schemas.openxmlformats.org/officeDocument/2006/relationships/hyperlink" Target="https://www.dropbox.com/scl/fi/wzccythlwmtokh7uca0xb/IMG_1844.JPG?rlkey=cppmn5guup07syx8habina73s&amp;amp;dl=0" TargetMode="External"/><Relationship Id="rId48" Type="http://schemas.openxmlformats.org/officeDocument/2006/relationships/hyperlink" Target="https://www.dropbox.com/scl/fi/5u6ioxfqjfiytezqwqmpg/IMG_1845.JPG?rlkey=83hll36sj5up4tagldadwurhw&amp;amp;dl=0" TargetMode="External"/><Relationship Id="rId49" Type="http://schemas.openxmlformats.org/officeDocument/2006/relationships/hyperlink" Target="https://www.dropbox.com/scl/fi/4szwgx9w7v7osel977v48/IMG_1847.JPG?rlkey=lq5tdqaw16o16je169wyeekbd&amp;amp;dl=0" TargetMode="External"/><Relationship Id="rId50" Type="http://schemas.openxmlformats.org/officeDocument/2006/relationships/hyperlink" Target="https://www.dropbox.com/scl/fi/0di4vvciwkoncbqyvaw0m/IMG_1867.JPG?rlkey=adb65kdkmme6gzf9kv4fztqy8&amp;amp;dl=0" TargetMode="External"/><Relationship Id="rId51" Type="http://schemas.openxmlformats.org/officeDocument/2006/relationships/hyperlink" Target="https://www.dropbox.com/scl/fi/ji6fuhj8xap05o40qn5vl/IMG_1866.JPG?rlkey=fvvisvkwai08a1n6rlih5qddk&amp;amp;dl=0" TargetMode="External"/><Relationship Id="rId52" Type="http://schemas.openxmlformats.org/officeDocument/2006/relationships/hyperlink" Target="https://www.dropbox.com/scl/fi/qd3gx4df9azfig0wo7311/IMG_1870.JPG?rlkey=mnz8946u3h3wsvjmw7m9955wi&amp;amp;dl=0" TargetMode="External"/><Relationship Id="rId53" Type="http://schemas.openxmlformats.org/officeDocument/2006/relationships/hyperlink" Target="https://www.dropbox.com/scl/fi/j2kcw96juny5p2r7y0xgs/IMG_1875.JPG?rlkey=fa3wilipbjk49fif2nzl06ks6&amp;amp;dl=0" TargetMode="External"/><Relationship Id="rId54" Type="http://schemas.openxmlformats.org/officeDocument/2006/relationships/hyperlink" Target="https://www.dropbox.com/scl/fi/mm6wbkf8ck4mg4jx6xl7e/IMG_1881.JPG?rlkey=xmk5xebevsksg36jt0oui57xa&amp;amp;dl=0" TargetMode="External"/><Relationship Id="rId55" Type="http://schemas.openxmlformats.org/officeDocument/2006/relationships/hyperlink" Target="https://www.dropbox.com/scl/fi/hbb8wwoxo4oopr9khvriy/IMG_1890.JPG?rlkey=p6d4u5iwxrrwmsj7pncf1ew1f&amp;amp;dl=0" TargetMode="External"/><Relationship Id="rId56" Type="http://schemas.openxmlformats.org/officeDocument/2006/relationships/hyperlink" Target="https://www.dropbox.com/scl/fi/jx08csq4287t7f7m6o353/IMG_1892.JPG?rlkey=2bvyxu5teq8bbs476v26v4exq&amp;amp;dl=0" TargetMode="External"/><Relationship Id="rId57" Type="http://schemas.openxmlformats.org/officeDocument/2006/relationships/hyperlink" Target="https://www.dropbox.com/scl/fi/6gljk723lvcinu6t8nvho/IMG_1893.JPG?rlkey=ppckwvunpaoyw4wfgisjmotq1&amp;amp;dl=0" TargetMode="External"/><Relationship Id="rId58" Type="http://schemas.openxmlformats.org/officeDocument/2006/relationships/hyperlink" Target="https://www.dropbox.com/scl/fi/zispfvdc2nve4t9tb603u/IMG_1894.JPG?rlkey=g7oe88ut5300kevfhaoplaa9b&amp;amp;dl=0" TargetMode="External"/><Relationship Id="rId59" Type="http://schemas.openxmlformats.org/officeDocument/2006/relationships/hyperlink" Target="https://www.dropbox.com/scl/fi/ksch4lajyu09avy7pmv9g/IMG_1896.JPG?rlkey=kr6d1qhesjfe1sx8e3l8ape4v&amp;amp;dl=0" TargetMode="External"/><Relationship Id="rId60" Type="http://schemas.openxmlformats.org/officeDocument/2006/relationships/hyperlink" Target="https://www.dropbox.com/scl/fi/pm7nzcybu7vbs3rbligqy/IMG_1904.JPG?rlkey=qh68q6j279evafki3bitvunia&amp;amp;dl=0" TargetMode="External"/><Relationship Id="rId61" Type="http://schemas.openxmlformats.org/officeDocument/2006/relationships/hyperlink" Target="https://www.dropbox.com/scl/fi/tjzhlrvuop3zzhvw8pw4o/IMG_1909.JPG?rlkey=8r0ulaz32uo63l3f88zutcrhg&amp;amp;dl=0" TargetMode="External"/><Relationship Id="rId62" Type="http://schemas.openxmlformats.org/officeDocument/2006/relationships/hyperlink" Target="https://www.dropbox.com/scl/fi/i4q9nnaalots7tzud4jnf/IMG_1911.JPG?rlkey=sf7blj0j591i8j0vmuqqfjo69&amp;amp;dl=0" TargetMode="External"/><Relationship Id="rId63" Type="http://schemas.openxmlformats.org/officeDocument/2006/relationships/hyperlink" Target="https://www.dropbox.com/scl/fi/v5vkjqqf30pdvw0ncx3hq/IMG_1912.JPG?rlkey=qfkz5l2f3e0t2zduzdkck4ys3&amp;amp;dl=0" TargetMode="External"/><Relationship Id="rId64" Type="http://schemas.openxmlformats.org/officeDocument/2006/relationships/hyperlink" Target="https://www.dropbox.com/scl/fi/4xjdtk1dtz3o2rec0osa5/IMG_1914.JPG?rlkey=g5m6xuzpsbogwg8da1lyx0bt1&amp;amp;dl=0" TargetMode="External"/><Relationship Id="rId65" Type="http://schemas.openxmlformats.org/officeDocument/2006/relationships/hyperlink" Target="https://www.dropbox.com/scl/fi/1w0e9ysdlkszd1k2g1c12/IMG_1919.JPG?rlkey=h42q788d5iikf5wt52emyx0kd&amp;amp;dl=0" TargetMode="External"/><Relationship Id="rId66" Type="http://schemas.openxmlformats.org/officeDocument/2006/relationships/hyperlink" Target="https://www.dropbox.com/scl/fi/pkt2guvvq63pmcga0p4ge/IMG_1921.JPG?rlkey=sxhpq8sswy6eivgzwqx7mulkk&amp;amp;dl=0" TargetMode="External"/><Relationship Id="rId67" Type="http://schemas.openxmlformats.org/officeDocument/2006/relationships/hyperlink" Target="https://www.dropbox.com/scl/fi/x24igmid7cf38ffa3d68v/IMG_1925.JPG?rlkey=hevt5oqlbx9hapkm8otkcmmr5&amp;amp;dl=0" TargetMode="External"/><Relationship Id="rId68" Type="http://schemas.openxmlformats.org/officeDocument/2006/relationships/hyperlink" Target="https://www.dropbox.com/scl/fi/1p9bo5dibahiucvn3k7wm/IMG_1928.JPG?rlkey=0iq86yfeholn23tx00qmeok8i&amp;amp;dl=0" TargetMode="External"/><Relationship Id="rId69" Type="http://schemas.openxmlformats.org/officeDocument/2006/relationships/hyperlink" Target="https://www.dropbox.com/scl/fi/zlmnyb70gp9u2vogtdy7s/IMG_1929.JPG?rlkey=ui5ff5zkgkldt84kqtehf85k5&amp;amp;dl=0" TargetMode="External"/><Relationship Id="rId70" Type="http://schemas.openxmlformats.org/officeDocument/2006/relationships/hyperlink" Target="https://www.dropbox.com/scl/fi/pnxiuh046rr5cdjg9ve0e/IMG_1933.JPG?rlkey=nkwq36p9ivuai1da4xn97nlro&amp;amp;dl=0" TargetMode="External"/><Relationship Id="rId71" Type="http://schemas.openxmlformats.org/officeDocument/2006/relationships/hyperlink" Target="https://www.dropbox.com/scl/fi/9oh24w4pujjo5qbavbhl5/IMG_1934.JPG?rlkey=jhm8e2m2krkwd9ua6j9nw7ojq&amp;amp;dl=0" TargetMode="External"/><Relationship Id="rId72" Type="http://schemas.openxmlformats.org/officeDocument/2006/relationships/hyperlink" Target="https://www.dropbox.com/scl/fi/ff2rwgjvwim7q6u79qgnq/IMG_1935.JPG?rlkey=twoat413ojgkl7p06xmmd5wte&amp;amp;dl=0" TargetMode="External"/><Relationship Id="rId73" Type="http://schemas.openxmlformats.org/officeDocument/2006/relationships/hyperlink" Target="https://www.dropbox.com/scl/fi/star2bg0pcqirh9ixb6pw/IMG_1938.JPG?rlkey=m631cyvd03vgcysklnjm8fo0j&amp;amp;dl=0" TargetMode="External"/><Relationship Id="rId74" Type="http://schemas.openxmlformats.org/officeDocument/2006/relationships/hyperlink" Target="https://www.dropbox.com/scl/fi/0yql6zmt20vqckm72pbj4/IMG_1939.JPG?rlkey=j4b4r84wl7ayho4c2xtnjkkyt&amp;amp;dl=0" TargetMode="External"/><Relationship Id="rId75" Type="http://schemas.openxmlformats.org/officeDocument/2006/relationships/hyperlink" Target="https://www.dropbox.com/scl/fi/sk3g9tq0ybgiio7pmcvsc/IMG_1940.JPG?rlkey=ec03sh86o72zzub9qkk7f102v&amp;amp;dl=0" TargetMode="External"/><Relationship Id="rId76" Type="http://schemas.openxmlformats.org/officeDocument/2006/relationships/hyperlink" Target="https://www.dropbox.com/scl/fi/3j9ym9a57v1weegrev0c0/IMG_1944.JPG?rlkey=8zqrx6exjcl64a9aply38iqml&amp;amp;dl=0" TargetMode="External"/><Relationship Id="rId77" Type="http://schemas.openxmlformats.org/officeDocument/2006/relationships/hyperlink" Target="https://www.dropbox.com/scl/fi/v6gy5mh5digjybg9ekiay/IMG_1945.JPG?rlkey=a0dum6auevda3gd61nqlw14iu&amp;amp;dl=0" TargetMode="External"/><Relationship Id="rId78" Type="http://schemas.openxmlformats.org/officeDocument/2006/relationships/hyperlink" Target="https://www.dropbox.com/scl/fi/kpfw4ipinibunavygitl8/IMG_1951.JPG?rlkey=uk6lzsire4zs8fzzo6jrdt6h3&amp;amp;dl=0" TargetMode="External"/><Relationship Id="rId79" Type="http://schemas.openxmlformats.org/officeDocument/2006/relationships/hyperlink" Target="https://www.dropbox.com/scl/fi/wefq3s3elevlkxbn2gse5/IMG_1962.JPG?rlkey=rhcwq2el8fa2asfbfu4c3hrwm&amp;amp;dl=0" TargetMode="External"/><Relationship Id="rId80" Type="http://schemas.openxmlformats.org/officeDocument/2006/relationships/hyperlink" Target="https://www.dropbox.com/scl/fi/2o80uti35f0mets96r6zl/IMG_1964.JPG?rlkey=39y6t3db7y2d2zktzgutznq90&amp;amp;dl=0" TargetMode="External"/><Relationship Id="rId81" Type="http://schemas.openxmlformats.org/officeDocument/2006/relationships/hyperlink" Target="https://www.dropbox.com/scl/fi/bgu856lghouiy0m6fc7vl/IMG_1967.JPG?rlkey=9a8qy2940aqt0tdlzan0oye9r&amp;amp;dl=0" TargetMode="External"/><Relationship Id="rId82" Type="http://schemas.openxmlformats.org/officeDocument/2006/relationships/hyperlink" Target="https://www.dropbox.com/scl/fi/zmw6hgmk8vf52cpd6guos/IMG_1968.JPG?rlkey=5axfbjge9wr288vcud7maj6f6&amp;amp;dl=0" TargetMode="External"/><Relationship Id="rId83" Type="http://schemas.openxmlformats.org/officeDocument/2006/relationships/hyperlink" Target="https://www.dropbox.com/scl/fi/bzcltknm4sytfh27661ur/IMG_1969.JPG?rlkey=76i9wqhcdyp4r1g311hhpgm6b&amp;amp;dl=0" TargetMode="External"/><Relationship Id="rId84" Type="http://schemas.openxmlformats.org/officeDocument/2006/relationships/hyperlink" Target="https://www.dropbox.com/scl/fi/s48kfkmfsxsdskyf6n9cu/2385.MP4?rlkey=44wc20vuz4o810j5hpwx8srq5&amp;amp;dl=0" TargetMode="External"/><Relationship Id="rId85" Type="http://schemas.openxmlformats.org/officeDocument/2006/relationships/hyperlink" Target="https://www.dropbox.com/scl/fi/4l9j9629nwyyp7p0c7ve1/IMG_1979.JPG?rlkey=q5mmoy4qdgcawdhwh76fop297&amp;amp;dl=0" TargetMode="External"/><Relationship Id="rId86" Type="http://schemas.openxmlformats.org/officeDocument/2006/relationships/hyperlink" Target="https://www.dropbox.com/scl/fi/14bk45qextsrszvcfe7sq/IMG_1980.JPG?rlkey=34z8s5d22h00o32x9ccp03dj5&amp;amp;dl=0" TargetMode="External"/><Relationship Id="rId87" Type="http://schemas.openxmlformats.org/officeDocument/2006/relationships/hyperlink" Target="https://www.dropbox.com/scl/fi/q6h1zjhhdeopcui9rpwt1/IMG_1987.JPG?rlkey=wnb4n7zikmji8jyweqay5ytjc&amp;amp;dl=0" TargetMode="External"/><Relationship Id="rId88" Type="http://schemas.openxmlformats.org/officeDocument/2006/relationships/hyperlink" Target="https://www.dropbox.com/scl/fi/apa9yhckyarqtph1ftbsn/IMG_1993.JPG?rlkey=58i4hk4av7q5mvfj46s0zxvxu&amp;amp;dl=0" TargetMode="External"/><Relationship Id="rId89" Type="http://schemas.openxmlformats.org/officeDocument/2006/relationships/hyperlink" Target="https://www.dropbox.com/scl/fi/3kd64uxypqoefjztyrvxu/IMG_1992.JPG?rlkey=z6g4mviaiawiprmpleaa6mlhu&amp;amp;dl=0" TargetMode="External"/><Relationship Id="rId90" Type="http://schemas.openxmlformats.org/officeDocument/2006/relationships/hyperlink" Target="https://www.dropbox.com/scl/fi/0xikwbumusjlarwyesqm9/IMG_1989.JPG?rlkey=dpxtixu9b8p6ffiljfc8ossgk&amp;amp;dl=0" TargetMode="External"/><Relationship Id="rId91" Type="http://schemas.openxmlformats.org/officeDocument/2006/relationships/hyperlink" Target="https://www.dropbox.com/scl/fi/hdf797aaijmgjpbw4h8q0/IMG_1998.JPG?rlkey=gai8z6e23rtlj5gkxtc6f6yjr&amp;amp;dl=0" TargetMode="External"/><Relationship Id="rId92" Type="http://schemas.openxmlformats.org/officeDocument/2006/relationships/hyperlink" Target="https://www.dropbox.com/scl/fi/tqplknq8ib87cbvbs2z0w/IMG_2007.JPG?rlkey=b9wsymmalzq20ulph68gfxxux&amp;amp;dl=0" TargetMode="External"/><Relationship Id="rId93" Type="http://schemas.openxmlformats.org/officeDocument/2006/relationships/hyperlink" Target="https://www.dropbox.com/scl/fi/dqofpydhrthadtul08vml/IMG_2009.JPG?rlkey=ntw3snabgsa1kzn8b1it085hz&amp;amp;dl=0" TargetMode="External"/><Relationship Id="rId94" Type="http://schemas.openxmlformats.org/officeDocument/2006/relationships/hyperlink" Target="https://www.dropbox.com/scl/fi/d935wvptcxyllzb84flh5/IMG_8365.JPG?rlkey=tzzr5izzp05trv2kfwnus0qxp&amp;amp;dl=0" TargetMode="External"/><Relationship Id="rId95" Type="http://schemas.openxmlformats.org/officeDocument/2006/relationships/hyperlink" Target="https://www.dropbox.com/scl/fi/ghtqoql6xajbo53r57k21/IMG_2013.JPG?rlkey=zh3g7y0chs8lqa2oxwjdsuaix&amp;amp;dl=0" TargetMode="External"/><Relationship Id="rId96" Type="http://schemas.openxmlformats.org/officeDocument/2006/relationships/hyperlink" Target="https://www.dropbox.com/scl/fi/f4mpdkzl8jnxtt6hm9akt/IMG_2014.JPG?rlkey=coygvuhkddvmpcvc6dq2iwl1k&amp;amp;dl=0" TargetMode="External"/><Relationship Id="rId97" Type="http://schemas.openxmlformats.org/officeDocument/2006/relationships/hyperlink" Target="https://www.dropbox.com/scl/fi/9h1xsni2xbnk4eswb6ufs/IMG_2016.JPG?rlkey=m2dnp8it2lchpve8c1hj55zxw&amp;amp;dl=0" TargetMode="External"/><Relationship Id="rId98" Type="http://schemas.openxmlformats.org/officeDocument/2006/relationships/hyperlink" Target="https://www.dropbox.com/scl/fi/nzmx10vmkfjaplw4mgntz/IMG_2017.JPG?rlkey=git6rv59555bnv39nouqd21pd&amp;amp;dl=0" TargetMode="External"/><Relationship Id="rId99" Type="http://schemas.openxmlformats.org/officeDocument/2006/relationships/hyperlink" Target="https://www.dropbox.com/scl/fi/jmg28j3b6x3nm9pbu7nmj/IMG_2019.JPG?rlkey=5hvmceenzsle795ngyndw880s&amp;amp;dl=0" TargetMode="External"/><Relationship Id="rId100" Type="http://schemas.openxmlformats.org/officeDocument/2006/relationships/hyperlink" Target="https://www.dropbox.com/scl/fi/wyb2ary8mrhm3qcwcsb0x/IMG_2022.JPG?rlkey=9tyg36dgzplt0q2x3swx9awjk&amp;amp;dl=0" TargetMode="External"/><Relationship Id="rId101" Type="http://schemas.openxmlformats.org/officeDocument/2006/relationships/hyperlink" Target="https://www.dropbox.com/scl/fi/i5u2ys0j7lnfjlvaqo3vu/IMG_2023.JPG?rlkey=mmvjz50cum1swqhpkmiuuto94&amp;amp;dl=0" TargetMode="External"/><Relationship Id="rId102" Type="http://schemas.openxmlformats.org/officeDocument/2006/relationships/hyperlink" Target="https://www.dropbox.com/scl/fi/o3tqd3kbgjpn40t1t00ue/IMG_2024.JPG?rlkey=9ezm41d53b1aa7xs24dtt57nj&amp;amp;dl=0" TargetMode="External"/><Relationship Id="rId103" Type="http://schemas.openxmlformats.org/officeDocument/2006/relationships/hyperlink" Target="https://www.dropbox.com/scl/fi/365z08gebk3zrmn5zp2we/IMG_2025.JPG?rlkey=ykflude273x5vrkcywwz7em81&amp;amp;dl=0" TargetMode="External"/><Relationship Id="rId104" Type="http://schemas.openxmlformats.org/officeDocument/2006/relationships/hyperlink" Target="https://www.dropbox.com/scl/fi/erakrvatmjq46s59sp51l/IMG_2026.JPG?rlkey=lrmnj6gyythjf63o5dj4oxb00&amp;amp;dl=0" TargetMode="External"/><Relationship Id="rId105" Type="http://schemas.openxmlformats.org/officeDocument/2006/relationships/hyperlink" Target="https://www.dropbox.com/scl/fi/719fu20riiglo3b9yu4m5/IMG_2028.JPG?rlkey=kl7d1oyf797gqf2mrv81tqde0&amp;amp;dl=0" TargetMode="External"/><Relationship Id="rId106" Type="http://schemas.openxmlformats.org/officeDocument/2006/relationships/hyperlink" Target="https://www.dropbox.com/scl/fi/gqhoc503losp7s794v6ks/IMG_2029.JPG?rlkey=vawpwfgn7r93isg07dz7s1w2o&amp;amp;dl=0" TargetMode="External"/><Relationship Id="rId107" Type="http://schemas.openxmlformats.org/officeDocument/2006/relationships/hyperlink" Target="https://www.dropbox.com/scl/fi/5rfx1ylzjpbx1bprdco8g/IMG_2030.JPG?rlkey=0u6ngmv1r6s7g64yzhdvn86k1&amp;amp;dl=0" TargetMode="External"/><Relationship Id="rId108" Type="http://schemas.openxmlformats.org/officeDocument/2006/relationships/hyperlink" Target="https://www.dropbox.com/scl/fi/dhnfxsbrc9syz3bwkii6w/IMG_2031.JPG?rlkey=30s1raeqpucqdc0uca4jpmgrn&amp;amp;dl=0" TargetMode="External"/><Relationship Id="rId109" Type="http://schemas.openxmlformats.org/officeDocument/2006/relationships/hyperlink" Target="https://www.dropbox.com/scl/fi/cbbyca1rzruhs040zli3u/IMG_2032.JPG?rlkey=vj2nrj9p629im2roidq6o2m92&amp;amp;dl=0" TargetMode="External"/><Relationship Id="rId110" Type="http://schemas.openxmlformats.org/officeDocument/2006/relationships/hyperlink" Target="https://www.dropbox.com/scl/fi/nfdyigrwhot3y6a0pqty0/IMG_1686.JPG?rlkey=jdvfq0yy1tk5u58oqpwcdxnrj&amp;amp;dl=0" TargetMode="External"/><Relationship Id="rId111" Type="http://schemas.openxmlformats.org/officeDocument/2006/relationships/hyperlink" Target="https://www.dropbox.com/scl/fi/gx0vx5tjzn7yznmdpcdao/IMG_1687.JPG?rlkey=i35ty44pdife23sqs22o20ndm&amp;amp;dl=0" TargetMode="External"/><Relationship Id="rId112" Type="http://schemas.openxmlformats.org/officeDocument/2006/relationships/hyperlink" Target="https://www.dropbox.com/scl/fi/y3mz8j1hmgufl50ieqe7k/IMG_1689.JPG?rlkey=opxz289tl50hhyyie5l7iiamy&amp;amp;dl=0" TargetMode="External"/><Relationship Id="rId113" Type="http://schemas.openxmlformats.org/officeDocument/2006/relationships/hyperlink" Target="https://www.dropbox.com/scl/fi/c6ya7mnrcg6k8cgweam4b/IMG_1690.JPG?rlkey=qbo34cex31sbsa74sfj5ps6no&amp;amp;dl=0" TargetMode="External"/><Relationship Id="rId114" Type="http://schemas.openxmlformats.org/officeDocument/2006/relationships/hyperlink" Target="https://www.dropbox.com/scl/fi/mpg16bdws4pqmorevi2m6/IMG_1691.JPG?rlkey=j7oavm9h0hjxkymd37vh6x3a9&amp;amp;dl=0" TargetMode="External"/><Relationship Id="rId115" Type="http://schemas.openxmlformats.org/officeDocument/2006/relationships/hyperlink" Target="https://www.dropbox.com/scl/fi/aveb0y90e7gdf7ma1aeka/IMG_1692.JPG?rlkey=q43swmvygeovuplqaow9udc98&amp;amp;dl=0" TargetMode="External"/><Relationship Id="rId116" Type="http://schemas.openxmlformats.org/officeDocument/2006/relationships/hyperlink" Target="https://www.dropbox.com/scl/fi/kdwx7o0bucj0e3zj8e05x/IMG_1693.JPG?rlkey=wfalooqe0mky09v00uf95zawe&amp;amp;dl=0" TargetMode="External"/><Relationship Id="rId117" Type="http://schemas.openxmlformats.org/officeDocument/2006/relationships/hyperlink" Target="https://www.dropbox.com/scl/fi/panl4m08lbsn94xx95bho/IMG_2052.JPG?rlkey=dt3svq80rbp18v3o40r2phe9b&amp;amp;dl=0" TargetMode="External"/><Relationship Id="rId118" Type="http://schemas.openxmlformats.org/officeDocument/2006/relationships/hyperlink" Target="https://www.dropbox.com/scl/fi/elxbki177lfkoudo9htv2/IMG_1694.JPG?rlkey=lrt2xbyxulj0gpciffpg00ek8&amp;amp;dl=0" TargetMode="External"/><Relationship Id="rId119" Type="http://schemas.openxmlformats.org/officeDocument/2006/relationships/hyperlink" Target="https://www.dropbox.com/scl/fi/zeimw77e1tjosn12i1v7w/IMG_1695.JPG?rlkey=vy3uqex5me0u138k2x2f2z3uk&amp;amp;dl=0" TargetMode="External"/><Relationship Id="rId120" Type="http://schemas.openxmlformats.org/officeDocument/2006/relationships/hyperlink" Target="https://www.dropbox.com/scl/fi/d4z3xxn7ebfttvqgq6zc3/IMG_1696.JPG?rlkey=q8kr8r1hqrxef0o4d2ss0nr2e&amp;amp;dl=0" TargetMode="External"/><Relationship Id="rId121" Type="http://schemas.openxmlformats.org/officeDocument/2006/relationships/hyperlink" Target="https://www.dropbox.com/scl/fi/060472m9tzqytbbtbbeip/IMG_1697.JPG?rlkey=ws1qctlpw4k8z52ls7a1hq8nx&amp;amp;dl=0" TargetMode="External"/><Relationship Id="rId122" Type="http://schemas.openxmlformats.org/officeDocument/2006/relationships/hyperlink" Target="https://www.dropbox.com/scl/fi/3hte61795pb4av0frgay1/IMG_1699.JPG?rlkey=vq038q7wd95g301t6jsykmsqz&amp;amp;dl=0" TargetMode="External"/><Relationship Id="rId123" Type="http://schemas.openxmlformats.org/officeDocument/2006/relationships/hyperlink" Target="https://www.dropbox.com/scl/fi/snbyhnffs8fbee39n02fo/IMG_1700.JPG?rlkey=rsfakf8n98yhgbzumo1fp4gyb&amp;amp;dl=0" TargetMode="External"/><Relationship Id="rId124" Type="http://schemas.openxmlformats.org/officeDocument/2006/relationships/hyperlink" Target="https://www.dropbox.com/scl/fi/pvb26x3pl8q7ajmq0qz3u/IMG_1701.JPG?rlkey=o6kg4wepyv23jh7s09uwzzvfz&amp;amp;dl=0" TargetMode="External"/><Relationship Id="rId125" Type="http://schemas.openxmlformats.org/officeDocument/2006/relationships/hyperlink" Target="https://www.dropbox.com/scl/fi/xb8ejnhxq9jd9n8sg7i2a/IMG_1702.JPG?rlkey=8qe2g9akrf4wy5ibbt940q8v2&amp;amp;dl=0" TargetMode="External"/><Relationship Id="rId126" Type="http://schemas.openxmlformats.org/officeDocument/2006/relationships/hyperlink" Target="https://www.dropbox.com/scl/fi/t70l8vg2rw1wyer2m8hyi/IMG_1703.JPG?rlkey=wjgtk3xd3o2i3c6k23lz6xhdj&amp;amp;dl=0" TargetMode="External"/><Relationship Id="rId127" Type="http://schemas.openxmlformats.org/officeDocument/2006/relationships/hyperlink" Target="https://www.dropbox.com/scl/fi/ybpqmr468tpdiqnkjj1ia/IMG_1705.JPG?rlkey=12s4lrkuvqh1hq47ahc1i0jum&amp;amp;dl=0" TargetMode="External"/><Relationship Id="rId128" Type="http://schemas.openxmlformats.org/officeDocument/2006/relationships/hyperlink" Target="https://www.dropbox.com/scl/fi/twjxsnq835vhtts3n4ziy/IMG_1704.JPG?rlkey=u64ublqkzjmiibk4b3l01e8on&amp;amp;dl=0" TargetMode="External"/><Relationship Id="rId129" Type="http://schemas.openxmlformats.org/officeDocument/2006/relationships/hyperlink" Target="https://www.dropbox.com/scl/fi/mp8y9r3q20trazj3sx1uz/IMG_1706.JPG?rlkey=z4inz2pxz6dq2j16cs7eqczcy&amp;amp;dl=0" TargetMode="External"/><Relationship Id="rId130" Type="http://schemas.openxmlformats.org/officeDocument/2006/relationships/hyperlink" Target="https://www.dropbox.com/scl/fi/uh5giv4zrgeaeej50bz8e/IMG_1707.JPG?rlkey=spqvrwgw9qpb6thk8x9jnf13j&amp;amp;dl=0" TargetMode="External"/><Relationship Id="rId131" Type="http://schemas.openxmlformats.org/officeDocument/2006/relationships/hyperlink" Target="https://www.dropbox.com/scl/fi/35y0d6hegg4gko3lzezfv/IMG_1708.JPG?rlkey=6p57wzfviqi8lh9pxxed76ioq&amp;amp;dl=0" TargetMode="External"/><Relationship Id="rId132" Type="http://schemas.openxmlformats.org/officeDocument/2006/relationships/hyperlink" Target="https://www.dropbox.com/scl/fi/f4ldtf6gku6fz9e30s6k0/IMG_1709.JPG?rlkey=kkyy9ced7kg4socl5nmhecp2t&amp;amp;dl=0" TargetMode="External"/><Relationship Id="rId133" Type="http://schemas.openxmlformats.org/officeDocument/2006/relationships/hyperlink" Target="https://www.dropbox.com/scl/fi/w4cks7g2q6d166tmxoiq1/IMG_1711.JPG?rlkey=o2789licjjlsx4klqsshmoerx&amp;amp;dl=0" TargetMode="External"/><Relationship Id="rId134" Type="http://schemas.openxmlformats.org/officeDocument/2006/relationships/hyperlink" Target="https://www.dropbox.com/scl/fi/xvcs8ku94sb6m49ixdgdj/IMG_1713.JPG?rlkey=ggvsnyr1yj9ngh33b15ovznpt&amp;amp;dl=0" TargetMode="External"/><Relationship Id="rId135" Type="http://schemas.openxmlformats.org/officeDocument/2006/relationships/hyperlink" Target="https://www.dropbox.com/scl/fi/1pc7hjw04rwafgyq1nnop/IMG_1714.JPG?rlkey=h243kn7rhlyr2hiyhkmfqop65&amp;amp;dl=0" TargetMode="External"/><Relationship Id="rId136" Type="http://schemas.openxmlformats.org/officeDocument/2006/relationships/hyperlink" Target="https://www.dropbox.com/scl/fi/vev51b0umfa47jhonbtzl/IMG_1718.JPG?rlkey=y4j09cphhueuio1bmxci0j9k7&amp;amp;dl=0" TargetMode="External"/><Relationship Id="rId137" Type="http://schemas.openxmlformats.org/officeDocument/2006/relationships/hyperlink" Target="https://www.dropbox.com/scl/fi/apwh37r96sxhp6agky89s/IMG_1716.JPG?rlkey=6ap6j7vpef6yqh8rq80d1aapg&amp;amp;dl=0" TargetMode="External"/><Relationship Id="rId138" Type="http://schemas.openxmlformats.org/officeDocument/2006/relationships/hyperlink" Target="https://www.dropbox.com/scl/fi/gg7t1cgh8t7exoqe2og7m/IMG_1721.JPG?rlkey=tyatgl0za31d05gazjyzc7ve0&amp;amp;dl=0" TargetMode="External"/><Relationship Id="rId139" Type="http://schemas.openxmlformats.org/officeDocument/2006/relationships/hyperlink" Target="https://www.dropbox.com/scl/fi/fdlzy7ra62gmo2k433ti9/IMG_1720.JPG?rlkey=g7ovf45oasehb5lp7umy4qrn1&amp;amp;dl=0" TargetMode="External"/><Relationship Id="rId140" Type="http://schemas.openxmlformats.org/officeDocument/2006/relationships/hyperlink" Target="https://www.dropbox.com/scl/fi/m3hkn7yoyyvsmtlkgk85g/IMG_1723.JPG?rlkey=be5692w2r756r1vxluh9tegjn&amp;amp;dl=0" TargetMode="External"/><Relationship Id="rId141" Type="http://schemas.openxmlformats.org/officeDocument/2006/relationships/hyperlink" Target="https://www.dropbox.com/scl/fi/xkdxs9p35c1cpd3z3lcpd/IMG_1724.JPG?rlkey=bm1j46shrb0j1otrcmqvioxvo&amp;amp;dl=0" TargetMode="External"/><Relationship Id="rId142" Type="http://schemas.openxmlformats.org/officeDocument/2006/relationships/hyperlink" Target="https://www.dropbox.com/scl/fi/oukrnti81e6q17y3lmmc5/IMG_1725.JPG?rlkey=0ctt0qb557ndol00xj2rnyjcd&amp;amp;dl=0" TargetMode="External"/><Relationship Id="rId143" Type="http://schemas.openxmlformats.org/officeDocument/2006/relationships/hyperlink" Target="https://www.dropbox.com/scl/fi/o2ou4axkwdywb21skxyxl/IMG_1727.JPG?rlkey=t68w17q904dmqguvi9h9sx4ku&amp;amp;dl=0" TargetMode="External"/><Relationship Id="rId144" Type="http://schemas.openxmlformats.org/officeDocument/2006/relationships/hyperlink" Target="https://www.dropbox.com/scl/fi/hou3ujne43wsymuumd1bg/IMG_1728.JPG?rlkey=7ygz8mug2oqc59mjndgbhnh6a&amp;amp;dl=0" TargetMode="External"/><Relationship Id="rId145" Type="http://schemas.openxmlformats.org/officeDocument/2006/relationships/hyperlink" Target="https://www.dropbox.com/scl/fi/k40ot0vwor0rsgirhr99i/IMG_1730.JPG?rlkey=fdyybo6yxocca9zyrztsoi33y&amp;amp;dl=0" TargetMode="External"/><Relationship Id="rId146" Type="http://schemas.openxmlformats.org/officeDocument/2006/relationships/hyperlink" Target="https://www.dropbox.com/scl/fi/asokyxz04uohrtagqsgp8/IMG_1740.JPG?rlkey=rc1bm68eg8vacp8umrtwq235b&amp;amp;dl=0" TargetMode="External"/><Relationship Id="rId147" Type="http://schemas.openxmlformats.org/officeDocument/2006/relationships/hyperlink" Target="https://www.dropbox.com/scl/fi/agp31f2kcis04x03v7xag/IMG_1742.JPG?rlkey=3mo2o1aewrs9wnyu6y58p4m0l&amp;amp;dl=0" TargetMode="External"/><Relationship Id="rId148" Type="http://schemas.openxmlformats.org/officeDocument/2006/relationships/hyperlink" Target="https://www.dropbox.com/scl/fi/si1x6ckt67kubboj157nc/IMG_1743.JPG?rlkey=upormu07aaebuy1dxv4ok7jdo&amp;amp;dl=0" TargetMode="External"/><Relationship Id="rId149" Type="http://schemas.openxmlformats.org/officeDocument/2006/relationships/hyperlink" Target="https://www.dropbox.com/scl/fi/w7uaqy5yylmxncubdh75x/IMG_1745.JPG?rlkey=j3yjxbdhxx0vkh04wojy06upl&amp;amp;dl=0" TargetMode="External"/><Relationship Id="rId150" Type="http://schemas.openxmlformats.org/officeDocument/2006/relationships/hyperlink" Target="https://www.dropbox.com/scl/fi/8vh9h4xfl3wgb9tub5rmp/IMG_1744.JPG?rlkey=wobwdjtws0jooakvxh5qaq3cg&amp;amp;dl=0" TargetMode="External"/><Relationship Id="rId151" Type="http://schemas.openxmlformats.org/officeDocument/2006/relationships/hyperlink" Target="https://www.dropbox.com/scl/fi/w746us8y0l1g0rvy3968w/IMG_1746.JPG?rlkey=37exxzi3tzsitmokut9e4owga&amp;amp;dl=0" TargetMode="External"/><Relationship Id="rId152" Type="http://schemas.openxmlformats.org/officeDocument/2006/relationships/hyperlink" Target="https://www.dropbox.com/scl/fi/rwhr67197l6gcd8jdhyfh/IMG_1747.JPG?rlkey=hx1rkrua92egq5ym7a4qf2566&amp;amp;dl=0" TargetMode="External"/><Relationship Id="rId153" Type="http://schemas.openxmlformats.org/officeDocument/2006/relationships/hyperlink" Target="https://www.dropbox.com/scl/fi/xrk5te30qb6gcrmz54wwv/IMG_1748.JPG?rlkey=da1jnjxmwycxf76x0pv5733id&amp;amp;dl=0" TargetMode="External"/><Relationship Id="rId154" Type="http://schemas.openxmlformats.org/officeDocument/2006/relationships/hyperlink" Target="https://www.dropbox.com/scl/fi/4up5au42yxci7gxadx88s/IMG_1750.JPG?rlkey=lvyowp8ki9bd9iwata7rtu9zt&amp;amp;dl=0" TargetMode="External"/><Relationship Id="rId155" Type="http://schemas.openxmlformats.org/officeDocument/2006/relationships/hyperlink" Target="https://www.dropbox.com/scl/fi/6ks7ls12jhps19bn1qknq/IMG_1751.JPG?rlkey=m2q88115m91ipl1jjckii53rg&amp;amp;dl=0" TargetMode="External"/><Relationship Id="rId156" Type="http://schemas.openxmlformats.org/officeDocument/2006/relationships/hyperlink" Target="https://www.dropbox.com/scl/fi/gp96ok0yebyyby68h2mib/IMG_1752.JPG?rlkey=q3qr2qz0mbrdpec81r1cceha2&amp;amp;dl=0" TargetMode="External"/><Relationship Id="rId157" Type="http://schemas.openxmlformats.org/officeDocument/2006/relationships/hyperlink" Target="https://www.dropbox.com/scl/fi/wa4afyahdsoadr1t59qgw/IMG_1753.JPG?rlkey=ijv8eh2121f6q9f7cbip1mji9&amp;amp;dl=0" TargetMode="External"/><Relationship Id="rId158" Type="http://schemas.openxmlformats.org/officeDocument/2006/relationships/hyperlink" Target="https://www.dropbox.com/scl/fi/hzg61wxzabeua8cgb3q3i/IMG_1754.JPG?rlkey=9fjh90d5dvntcx56bynz28mhu&amp;amp;dl=0" TargetMode="External"/><Relationship Id="rId159" Type="http://schemas.openxmlformats.org/officeDocument/2006/relationships/hyperlink" Target="https://www.dropbox.com/scl/fi/mr4ysv7xy1z3r9k0kbrd9/IMG_1758.JPG?rlkey=id7ore77pbwkplwpkqufkbdjp&amp;amp;dl=0" TargetMode="External"/><Relationship Id="rId160" Type="http://schemas.openxmlformats.org/officeDocument/2006/relationships/hyperlink" Target="https://www.dropbox.com/scl/fi/c4w0bthgm7u85df5ddgr9/IMG_1760.JPG?rlkey=hnq6u97bbzktqet0uhtefux0y&amp;amp;dl=0" TargetMode="External"/><Relationship Id="rId161" Type="http://schemas.openxmlformats.org/officeDocument/2006/relationships/hyperlink" Target="https://www.dropbox.com/scl/fi/hgb8h0qg2wwh69q8a3cte/IMG_1762.JPG?rlkey=s112myybp4h0cw52ad3gjav9k&amp;amp;dl=0" TargetMode="External"/><Relationship Id="rId162" Type="http://schemas.openxmlformats.org/officeDocument/2006/relationships/hyperlink" Target="https://www.dropbox.com/scl/fi/fykoawg41diq2jjszio2o/IMG_1765.JPG?rlkey=1v64r03jatp66mwcpok7o1zjq&amp;amp;dl=0" TargetMode="External"/><Relationship Id="rId163" Type="http://schemas.openxmlformats.org/officeDocument/2006/relationships/hyperlink" Target="https://www.dropbox.com/scl/fi/bhsz16du0tdlt70ud2r3d/IMG_1766.JPG?rlkey=tyoxckzrncs1mot09c2wszgix&amp;amp;dl=0" TargetMode="External"/><Relationship Id="rId164" Type="http://schemas.openxmlformats.org/officeDocument/2006/relationships/hyperlink" Target="https://www.dropbox.com/scl/fi/ebsp99exifrm2da42mwhw/IMG_1767.JPG?rlkey=tukl6lgygfzyy7kjw3egzlm48&amp;amp;dl=0" TargetMode="External"/><Relationship Id="rId165" Type="http://schemas.openxmlformats.org/officeDocument/2006/relationships/hyperlink" Target="https://www.dropbox.com/scl/fi/r8zajlbfh9qsdgyjfuc0u/IMG_1768.JPG?rlkey=m9wcj0ol6ethn0lks6oxpdmaf&amp;amp;dl=0" TargetMode="External"/><Relationship Id="rId166" Type="http://schemas.openxmlformats.org/officeDocument/2006/relationships/hyperlink" Target="https://www.dropbox.com/scl/fi/6jjti682n1jeyeg8xtolt/IMG_1772.JPG?rlkey=jz5syzuyywy79c37sgrmtmbfl&amp;amp;dl=0" TargetMode="External"/><Relationship Id="rId167" Type="http://schemas.openxmlformats.org/officeDocument/2006/relationships/hyperlink" Target="https://www.dropbox.com/scl/fi/o26cmhx45qvxcoz6336ip/IMG_1771.JPG?rlkey=5sg3gtf58are0pmg883dhzney&amp;amp;dl=0" TargetMode="External"/><Relationship Id="rId168" Type="http://schemas.openxmlformats.org/officeDocument/2006/relationships/hyperlink" Target="https://www.dropbox.com/scl/fi/fnslkanl5yh3zi35u1znl/IMG_1775.JPG?rlkey=pnat0k0eslzjuqy4ok0lu0a3w&amp;amp;dl=0" TargetMode="External"/><Relationship Id="rId169" Type="http://schemas.openxmlformats.org/officeDocument/2006/relationships/hyperlink" Target="https://www.dropbox.com/scl/fi/sd3iiq2unac10ttgunrqp/IMG_1777.JPG?rlkey=qv8q18olntab7r5a0a20mw00c&amp;amp;dl=0" TargetMode="External"/><Relationship Id="rId170" Type="http://schemas.openxmlformats.org/officeDocument/2006/relationships/hyperlink" Target="https://www.dropbox.com/scl/fi/6grx99oyr5x8dqzrnd1gs/IMG_1776.JPG?rlkey=1wx7o0y3pwoyl8nlos3brh0ju&amp;amp;dl=0" TargetMode="External"/><Relationship Id="rId171" Type="http://schemas.openxmlformats.org/officeDocument/2006/relationships/hyperlink" Target="https://www.dropbox.com/scl/fi/v0muhh5et755jtto2y7e3/IMG_1780.JPG?rlkey=gyrz3h7na76fc94lxrszitvcl&amp;amp;dl=0" TargetMode="External"/><Relationship Id="rId172" Type="http://schemas.openxmlformats.org/officeDocument/2006/relationships/hyperlink" Target="https://www.dropbox.com/scl/fi/smwkw73msu4vw6y5kmlxy/IMG_1787.JPG?rlkey=vun3zaq6fqvdy7h99jq56sqx6&amp;amp;dl=0" TargetMode="External"/><Relationship Id="rId173" Type="http://schemas.openxmlformats.org/officeDocument/2006/relationships/hyperlink" Target="https://www.dropbox.com/scl/fi/4hef6we3u8teri8nqlgrs/IMG_1788.JPG?rlkey=6lgxbifw2153fu5huvapqtcbm&amp;amp;dl=0" TargetMode="External"/><Relationship Id="rId174" Type="http://schemas.openxmlformats.org/officeDocument/2006/relationships/hyperlink" Target="https://www.dropbox.com/scl/fi/yjbe0guzadko1k5nqnaj7/IMG_1792.JPG?rlkey=49ehhjthjslyqky8jy872o1qb&amp;amp;dl=0" TargetMode="External"/><Relationship Id="rId175" Type="http://schemas.openxmlformats.org/officeDocument/2006/relationships/hyperlink" Target="https://www.dropbox.com/scl/fi/tqgciz86txwci1tj4mh7b/IMG_1793.JPG?rlkey=ou8h7mnjklbm7fjfvs2efpq5z&amp;amp;dl=0" TargetMode="External"/><Relationship Id="rId176" Type="http://schemas.openxmlformats.org/officeDocument/2006/relationships/hyperlink" Target="https://www.dropbox.com/scl/fi/gud0m4l9rujxta6ok78um/IMG_1795.JPG?rlkey=4wq79jlipsalg9y9sctlo32e0&amp;amp;dl=0" TargetMode="External"/><Relationship Id="rId177" Type="http://schemas.openxmlformats.org/officeDocument/2006/relationships/hyperlink" Target="https://www.dropbox.com/scl/fi/jpm4kvoo1pqmrmthsibcq/IMG_1796.JPG?rlkey=36ok09mnctyi99z34j6u1dets&amp;amp;dl=0" TargetMode="External"/><Relationship Id="rId178" Type="http://schemas.openxmlformats.org/officeDocument/2006/relationships/hyperlink" Target="https://www.dropbox.com/scl/fi/k8txua5ccv0jpsry6g99w/IMG_1799.JPG?rlkey=7a2ls646asmhsnbmjeghcu499&amp;amp;dl=0" TargetMode="External"/><Relationship Id="rId179" Type="http://schemas.openxmlformats.org/officeDocument/2006/relationships/hyperlink" Target="https://www.dropbox.com/scl/fi/u4m8w7b9hgenbxxunbwbx/IMG_1802.JPG?rlkey=o5msvoguszsh5wg2xi2bo3qph&amp;amp;dl=0" TargetMode="External"/><Relationship Id="rId180" Type="http://schemas.openxmlformats.org/officeDocument/2006/relationships/hyperlink" Target="https://www.dropbox.com/scl/fi/qr6y1q7qyotg138js3stb/IMG_1803.JPG?rlkey=i25724ydpj8jt52jo85151zw4&amp;amp;dl=0" TargetMode="External"/><Relationship Id="rId181" Type="http://schemas.openxmlformats.org/officeDocument/2006/relationships/hyperlink" Target="https://www.dropbox.com/scl/fi/vrjkkxs6956xny4rlr92j/IMG_1807.JPG?rlkey=jrrlfjaggyj3cbb7jr5sayyke&amp;amp;dl=0" TargetMode="External"/><Relationship Id="rId182" Type="http://schemas.openxmlformats.org/officeDocument/2006/relationships/hyperlink" Target="https://www.dropbox.com/scl/fi/hzjctfhsxw01vkhvnbfgv/IMG_1808.JPG?rlkey=nfc61r15zfrd05jou0flgj44d&amp;amp;dl=0" TargetMode="External"/><Relationship Id="rId183" Type="http://schemas.openxmlformats.org/officeDocument/2006/relationships/hyperlink" Target="https://www.dropbox.com/scl/fi/zb9ontcauxguolvod7w1a/IMG_1809.JPG?rlkey=dwwmptqgt8ve3pwsgwykcxkcy&amp;amp;dl=0" TargetMode="External"/><Relationship Id="rId184" Type="http://schemas.openxmlformats.org/officeDocument/2006/relationships/hyperlink" Target="https://www.dropbox.com/scl/fi/34qlggt18m1cgag569sb1/IMG_1813.JPG?rlkey=g5nyyxkw92j1ykmcj3munjtuv&amp;amp;dl=0" TargetMode="External"/><Relationship Id="rId185" Type="http://schemas.openxmlformats.org/officeDocument/2006/relationships/hyperlink" Target="https://www.dropbox.com/scl/fi/i3g5s63s71jph7cl87i3w/IMG_1815.JPG?rlkey=jgwq06caaklgx7x8lc9u3wl8z&amp;amp;dl=0" TargetMode="External"/><Relationship Id="rId186" Type="http://schemas.openxmlformats.org/officeDocument/2006/relationships/hyperlink" Target="https://www.dropbox.com/scl/fi/knfx60t31qhw4bo90ulac/IMG_1817.JPG?rlkey=e13vb7lo1jxe0ow97p4xyuijn&amp;amp;dl=0" TargetMode="External"/><Relationship Id="rId187" Type="http://schemas.openxmlformats.org/officeDocument/2006/relationships/hyperlink" Target="https://www.dropbox.com/scl/fi/cyyczyktpp76yeszj29nl/IMG_1818.JPG?rlkey=wz6p8j0cvmkipiznh6u655s32&amp;amp;dl=0" TargetMode="External"/><Relationship Id="rId188" Type="http://schemas.openxmlformats.org/officeDocument/2006/relationships/hyperlink" Target="https://www.dropbox.com/scl/fi/9ot9vp94cxnezjd3lm73w/IMG_1822.JPG?rlkey=4ewezaxzjraubv18cv5gl0ecv&amp;amp;dl=0" TargetMode="External"/><Relationship Id="rId189" Type="http://schemas.openxmlformats.org/officeDocument/2006/relationships/hyperlink" Target="https://www.dropbox.com/scl/fi/g8fja7apqzuoxa3az6hm9/IMG_1825.JPG?rlkey=x69ljy74c4akfqrspw771ro7m&amp;amp;dl=0" TargetMode="External"/><Relationship Id="rId190" Type="http://schemas.openxmlformats.org/officeDocument/2006/relationships/hyperlink" Target="https://www.dropbox.com/scl/fi/sc03z8p7opi6t0ax08y35/IMG_1826.JPG?rlkey=lpookln9ulo2l15xv4ckcgdnp&amp;amp;dl=0" TargetMode="External"/><Relationship Id="rId191" Type="http://schemas.openxmlformats.org/officeDocument/2006/relationships/hyperlink" Target="https://www.dropbox.com/scl/fi/348aeii2wy8sys97lhf3g/IMG_1831.JPG?rlkey=iy6fbhcqya7w2r3llkfwstprz&amp;amp;dl=0" TargetMode="External"/><Relationship Id="rId192" Type="http://schemas.openxmlformats.org/officeDocument/2006/relationships/hyperlink" Target="https://www.dropbox.com/scl/fi/udufifhgmj53pymrtsu58/IMG_1829.JPG?rlkey=28dksk6361kkvg483p78jx672&amp;amp;dl=0" TargetMode="External"/><Relationship Id="rId193" Type="http://schemas.openxmlformats.org/officeDocument/2006/relationships/hyperlink" Target="https://www.dropbox.com/scl/fi/q2g0jsnljlluneq6zv412/IMG_1830.JPG?rlkey=01hzb9stfy4j6et9h5cyg06k2&amp;amp;dl=0" TargetMode="External"/><Relationship Id="rId194" Type="http://schemas.openxmlformats.org/officeDocument/2006/relationships/hyperlink" Target="https://www.dropbox.com/scl/fi/k3qo6petf886bjh6kqefk/IMG_1835.JPG?rlkey=cngr0e4xuvqme3zsicjmz6dve&amp;amp;dl=0" TargetMode="External"/><Relationship Id="rId195" Type="http://schemas.openxmlformats.org/officeDocument/2006/relationships/hyperlink" Target="https://www.dropbox.com/scl/fi/ohdrzhu3qr16rwrx3nyi7/IMG_1833.JPG?rlkey=72l3yii4k4zc4amvtc1i0f43e&amp;amp;dl=0" TargetMode="External"/><Relationship Id="rId196" Type="http://schemas.openxmlformats.org/officeDocument/2006/relationships/hyperlink" Target="https://www.dropbox.com/scl/fi/e04w6q50x26f56c2dpb2e/IMG_1839.JPG?rlkey=io05op0fv04rt6dyh0c39uxu1&amp;amp;dl=0" TargetMode="External"/><Relationship Id="rId197" Type="http://schemas.openxmlformats.org/officeDocument/2006/relationships/hyperlink" Target="https://www.dropbox.com/scl/fi/cm0x43j85swhylieyby2v/IMG_1840.JPG?rlkey=h7waim10ci1k0j49l3p3eg7rb&amp;amp;dl=0" TargetMode="External"/><Relationship Id="rId198" Type="http://schemas.openxmlformats.org/officeDocument/2006/relationships/hyperlink" Target="https://www.dropbox.com/scl/fi/pff7sifs1cz41ztd8wn2f/IMG_1841.JPG?rlkey=0l6fjd5he4rpncbhu531gmw0y&amp;amp;dl=0" TargetMode="External"/><Relationship Id="rId199" Type="http://schemas.openxmlformats.org/officeDocument/2006/relationships/hyperlink" Target="https://www.dropbox.com/scl/fi/bcpce2pdoapdmayzyse4p/IMG_1842.JPG?rlkey=uievweyy23d90u9t2b2e0owqg&amp;amp;dl=0" TargetMode="External"/><Relationship Id="rId200" Type="http://schemas.openxmlformats.org/officeDocument/2006/relationships/hyperlink" Target="https://www.dropbox.com/scl/fi/gk78c1e481mz0zs9u0bqn/IMG_1843.JPG?rlkey=9uhsrbz7cc9jv1zqr09eekd33&amp;amp;dl=0" TargetMode="External"/><Relationship Id="rId201" Type="http://schemas.openxmlformats.org/officeDocument/2006/relationships/hyperlink" Target="https://www.dropbox.com/scl/fi/84ns7qzx062uag7nv8opf/IMG_1846.JPG?rlkey=0lzzegrt6pzavhs387ezsekmz&amp;amp;dl=0" TargetMode="External"/><Relationship Id="rId202" Type="http://schemas.openxmlformats.org/officeDocument/2006/relationships/hyperlink" Target="https://www.dropbox.com/scl/fi/no96c2xecv4mpezr5ttg7/IMG_1848.JPG?rlkey=5jgzz5kaq7dinmiqeryx1papa&amp;amp;dl=0" TargetMode="External"/><Relationship Id="rId203" Type="http://schemas.openxmlformats.org/officeDocument/2006/relationships/hyperlink" Target="https://www.dropbox.com/scl/fi/xwwayezrdgz0dpn62xxfn/IMG_1850.JPG?rlkey=2lvkbtsy0kwkg8xk07h1rjqqu&amp;amp;dl=0" TargetMode="External"/><Relationship Id="rId204" Type="http://schemas.openxmlformats.org/officeDocument/2006/relationships/hyperlink" Target="https://www.dropbox.com/scl/fi/euecppcua21aknaohtmlc/IMG_1853.JPG?rlkey=0ty85ym27ziaad3u4k7ogb5q1&amp;amp;dl=0" TargetMode="External"/><Relationship Id="rId205" Type="http://schemas.openxmlformats.org/officeDocument/2006/relationships/hyperlink" Target="https://www.dropbox.com/scl/fi/34nm37ga1tsbzxzmysm4p/IMG_1851.JPG?rlkey=1h9leg9ljfh0c75e3gd2efkd7&amp;amp;dl=0" TargetMode="External"/><Relationship Id="rId206" Type="http://schemas.openxmlformats.org/officeDocument/2006/relationships/hyperlink" Target="https://www.dropbox.com/scl/fi/7m25brcecu6cnmxosd8u9/IMG_1855.JPG?rlkey=27ydmf9s127me7o5udeyynjyv&amp;amp;dl=0" TargetMode="External"/><Relationship Id="rId207" Type="http://schemas.openxmlformats.org/officeDocument/2006/relationships/hyperlink" Target="https://www.dropbox.com/scl/fi/2fyxqmuawe5d9tt64o5qy/IMG_1856.JPG?rlkey=erww0t0q7p1u7rlv5ji0heark&amp;amp;dl=0" TargetMode="External"/><Relationship Id="rId208" Type="http://schemas.openxmlformats.org/officeDocument/2006/relationships/hyperlink" Target="https://www.dropbox.com/scl/fi/3rm3z9e27ecs3s5zymgw2/IMG_1857.JPG?rlkey=71pftxwpbbgmul9th0jhvo6rt&amp;amp;dl=0" TargetMode="External"/><Relationship Id="rId209" Type="http://schemas.openxmlformats.org/officeDocument/2006/relationships/hyperlink" Target="https://www.dropbox.com/scl/fi/3nzb87m0oonlj07xbem8w/IMG_1859.JPG?rlkey=7p347gaeug0dascdd2a5qgcyp&amp;amp;dl=0" TargetMode="External"/><Relationship Id="rId210" Type="http://schemas.openxmlformats.org/officeDocument/2006/relationships/hyperlink" Target="https://www.dropbox.com/scl/fi/xu9qcyfk5ls5uuy0qzkpt/IMG_1860.JPG?rlkey=qifma888i158yf6fq4o78l430&amp;amp;dl=0" TargetMode="External"/><Relationship Id="rId211" Type="http://schemas.openxmlformats.org/officeDocument/2006/relationships/hyperlink" Target="https://www.dropbox.com/scl/fi/kq9vsdvxbna4ava4aywg7/IMG_1861.JPG?rlkey=fvia9u1yf026u1figwmycowrg&amp;amp;dl=0" TargetMode="External"/><Relationship Id="rId212" Type="http://schemas.openxmlformats.org/officeDocument/2006/relationships/hyperlink" Target="https://www.dropbox.com/scl/fi/67ftk029uukz5v805kb65/IMG_1862.JPG?rlkey=83u4o1a6f8nhvk8ynvras9bw8&amp;amp;dl=0" TargetMode="External"/><Relationship Id="rId213" Type="http://schemas.openxmlformats.org/officeDocument/2006/relationships/hyperlink" Target="https://www.dropbox.com/scl/fi/niimq18k08oup7vpku1yp/IMG_1863.JPG?rlkey=5i5kzne8mx7u6yill73gh6j5m&amp;amp;dl=0" TargetMode="External"/><Relationship Id="rId214" Type="http://schemas.openxmlformats.org/officeDocument/2006/relationships/hyperlink" Target="https://www.dropbox.com/scl/fi/t4luvehui22g76b9qjnmg/IMG_1864.JPG?rlkey=k0p8ufvvxrlf0q2o0y3h6t8qo&amp;amp;dl=0" TargetMode="External"/><Relationship Id="rId215" Type="http://schemas.openxmlformats.org/officeDocument/2006/relationships/hyperlink" Target="https://www.dropbox.com/scl/fi/cf54cuq9dtb5oh2uycdey/IMG_1868.JPG?rlkey=dl987qwrzml4w9mvj8fjgzsi4&amp;amp;dl=0" TargetMode="External"/><Relationship Id="rId216" Type="http://schemas.openxmlformats.org/officeDocument/2006/relationships/hyperlink" Target="https://www.dropbox.com/scl/fi/s5c86aydll7lgcafefxm4/IMG_1871.JPG?rlkey=72tt17zyywudskxtps7tmf4bu&amp;amp;dl=0" TargetMode="External"/><Relationship Id="rId217" Type="http://schemas.openxmlformats.org/officeDocument/2006/relationships/hyperlink" Target="https://www.dropbox.com/scl/fi/garq4gtnmsxnp9ewjgeas/IMG_1872.JPG?rlkey=7c1bbsfgvwk0a9k7w39v4w0bc&amp;amp;dl=0" TargetMode="External"/><Relationship Id="rId218" Type="http://schemas.openxmlformats.org/officeDocument/2006/relationships/hyperlink" Target="https://www.dropbox.com/scl/fi/biq37l6svma7bms3g3ejo/IMG_1873.JPG?rlkey=0bozlya2kqc0x561wzmvthh5g&amp;amp;dl=0" TargetMode="External"/><Relationship Id="rId219" Type="http://schemas.openxmlformats.org/officeDocument/2006/relationships/hyperlink" Target="https://www.dropbox.com/scl/fi/wnc7nseh2q21mm266ohm3/IMG_1874.JPG?rlkey=qg1l7dkakw6ln4bb9o9x1wzwl&amp;amp;dl=0" TargetMode="External"/><Relationship Id="rId220" Type="http://schemas.openxmlformats.org/officeDocument/2006/relationships/hyperlink" Target="https://www.dropbox.com/scl/fi/37xaz0sg82hajxfywfhan/IMG_1876.JPG?rlkey=pgkax55ethi3opffogfsyi3on&amp;amp;dl=0" TargetMode="External"/><Relationship Id="rId221" Type="http://schemas.openxmlformats.org/officeDocument/2006/relationships/hyperlink" Target="https://www.dropbox.com/scl/fi/5kj8siio9upl7t924ji2o/IMG_1877.JPG?rlkey=4vlahazzbw2223qnutgugds8r&amp;amp;dl=0" TargetMode="External"/><Relationship Id="rId222" Type="http://schemas.openxmlformats.org/officeDocument/2006/relationships/hyperlink" Target="https://www.dropbox.com/scl/fi/wo7o8ijavc0570lzrf10m/IMG_1878.JPG?rlkey=5zu20hncvxt7iac1jh7lugovt&amp;amp;dl=0" TargetMode="External"/><Relationship Id="rId223" Type="http://schemas.openxmlformats.org/officeDocument/2006/relationships/hyperlink" Target="https://www.dropbox.com/scl/fi/c7hf6nl8hist105assfue/IMG_1880.JPG?rlkey=4t7viz7dipnbic3h2fsx1tjdk&amp;amp;dl=0" TargetMode="External"/><Relationship Id="rId224" Type="http://schemas.openxmlformats.org/officeDocument/2006/relationships/hyperlink" Target="https://www.dropbox.com/scl/fi/lnnerj1t0qq8al0zo6k7p/IMG_1879.JPG?rlkey=4fjvhfscqeiue8msnq6bep6l1&amp;amp;dl=0" TargetMode="External"/><Relationship Id="rId225" Type="http://schemas.openxmlformats.org/officeDocument/2006/relationships/hyperlink" Target="https://www.dropbox.com/scl/fi/hxovhkdasz3b3wyl92ddk/IMG_1884.JPG?rlkey=1nigbgmb7tk350shw915ao7d2&amp;amp;dl=0" TargetMode="External"/><Relationship Id="rId226" Type="http://schemas.openxmlformats.org/officeDocument/2006/relationships/hyperlink" Target="https://www.dropbox.com/scl/fi/at440o0j0vzlksyqnbvvv/IMG_1882.JPG?rlkey=izim1xj59hq9848kwdxpr0xaf&amp;amp;dl=0" TargetMode="External"/><Relationship Id="rId227" Type="http://schemas.openxmlformats.org/officeDocument/2006/relationships/hyperlink" Target="https://www.dropbox.com/scl/fi/7pygjrwnwaqyvrohbiih3/IMG_1883.JPG?rlkey=fnhmp76yfhlgscj3zfokcfnq4&amp;amp;dl=0" TargetMode="External"/><Relationship Id="rId228" Type="http://schemas.openxmlformats.org/officeDocument/2006/relationships/hyperlink" Target="https://www.dropbox.com/scl/fi/liqx9zoe1fhfzcs9bnelw/IMG_1885.JPG?rlkey=ienhdsch3nb7oy148tme83rpz&amp;amp;dl=0" TargetMode="External"/><Relationship Id="rId229" Type="http://schemas.openxmlformats.org/officeDocument/2006/relationships/hyperlink" Target="https://www.dropbox.com/scl/fi/53dmtkvlwvg48uwafp8qs/IMG_1886.JPG?rlkey=wqctw367pjnrt981tqixkd77y&amp;amp;dl=0" TargetMode="External"/><Relationship Id="rId230" Type="http://schemas.openxmlformats.org/officeDocument/2006/relationships/hyperlink" Target="https://www.dropbox.com/scl/fi/b5a3w2juup79xzoyfczt5/IMG_1887.JPG?rlkey=bz7vrtobn1jhznmj121qux6dp&amp;amp;dl=0" TargetMode="External"/><Relationship Id="rId231" Type="http://schemas.openxmlformats.org/officeDocument/2006/relationships/hyperlink" Target="https://www.dropbox.com/scl/fi/7nfo9gx344fck4to4nwbm/IMG_1888.JPG?rlkey=0ns3nmcpt381f4k2g224qkjq3&amp;amp;dl=0" TargetMode="External"/><Relationship Id="rId232" Type="http://schemas.openxmlformats.org/officeDocument/2006/relationships/hyperlink" Target="https://www.dropbox.com/scl/fi/4k9l25uzp0afawu4rzhd6/IMG_1889.JPG?rlkey=zh6ajwk2yehaxgef5qw7lsnps&amp;amp;dl=0" TargetMode="External"/><Relationship Id="rId233" Type="http://schemas.openxmlformats.org/officeDocument/2006/relationships/hyperlink" Target="https://www.dropbox.com/scl/fi/jy3x0gl4mt4rn27vru7ua/IMG_1891.JPG?rlkey=ihxicuolyyrlr1j0yaf06bc35&amp;amp;dl=0" TargetMode="External"/><Relationship Id="rId234" Type="http://schemas.openxmlformats.org/officeDocument/2006/relationships/hyperlink" Target="https://www.dropbox.com/scl/fi/f0h33mzqxltwz9kuw0n4v/IMG_1895.JPG?rlkey=bqvt0rsco1v60uily3evi8ysb&amp;amp;dl=0" TargetMode="External"/><Relationship Id="rId235" Type="http://schemas.openxmlformats.org/officeDocument/2006/relationships/hyperlink" Target="https://www.dropbox.com/scl/fi/y3zp7z7sll30kq53nzrpl/IMG_1897.JPG?rlkey=k7xziq4o09bn6jk6gv5p6b9p8&amp;amp;dl=0" TargetMode="External"/><Relationship Id="rId236" Type="http://schemas.openxmlformats.org/officeDocument/2006/relationships/hyperlink" Target="https://www.dropbox.com/scl/fi/fjhj7rchi99mbb1a7pamy/IMG_1899.JPG?rlkey=l7xvm2qnq84ipfileyyuwltni&amp;amp;dl=0" TargetMode="External"/><Relationship Id="rId237" Type="http://schemas.openxmlformats.org/officeDocument/2006/relationships/hyperlink" Target="https://www.dropbox.com/scl/fi/tm83y3sez2mfysih33ywg/IMG_1901.JPG?rlkey=nf8c6z33rsfufgrzwlwhfxk31&amp;amp;dl=0" TargetMode="External"/><Relationship Id="rId238" Type="http://schemas.openxmlformats.org/officeDocument/2006/relationships/hyperlink" Target="https://www.dropbox.com/scl/fi/ug8lftwuje3iyfnwfbikr/IMG_1902.JPG?rlkey=ectub8exli69xjw1v9puaphxg&amp;amp;dl=0" TargetMode="External"/><Relationship Id="rId239" Type="http://schemas.openxmlformats.org/officeDocument/2006/relationships/hyperlink" Target="https://www.dropbox.com/scl/fi/j7sb987bgnb2j8cpzh49x/IMG_1903.JPG?rlkey=auc86gznbu6f8zpvy4o7cukat&amp;amp;dl=0" TargetMode="External"/><Relationship Id="rId240" Type="http://schemas.openxmlformats.org/officeDocument/2006/relationships/hyperlink" Target="https://www.dropbox.com/scl/fi/92h28zu1sjf76bn0r98hx/IMG_1905.JPG?rlkey=rakzwg204s74c743lp8qw9cij&amp;amp;dl=0" TargetMode="External"/><Relationship Id="rId241" Type="http://schemas.openxmlformats.org/officeDocument/2006/relationships/hyperlink" Target="https://www.dropbox.com/scl/fi/syy4zvai80fyua4kh8saz/IMG_1906.JPG?rlkey=tawe0q4jvtx4r8i81l9pirhxd&amp;amp;dl=0" TargetMode="External"/><Relationship Id="rId242" Type="http://schemas.openxmlformats.org/officeDocument/2006/relationships/hyperlink" Target="https://www.dropbox.com/scl/fi/t53widgngwjnwsezh1djo/IMG_1907.JPG?rlkey=vbfuf9aefg6cr25o0a08yb4o0&amp;amp;dl=0" TargetMode="External"/><Relationship Id="rId243" Type="http://schemas.openxmlformats.org/officeDocument/2006/relationships/hyperlink" Target="https://www.dropbox.com/scl/fi/63xp2iulmtp5kugpddxet/IMG_1908.JPG?rlkey=yynn9y8csgz4p570ecqwvrsap&amp;amp;dl=0" TargetMode="External"/><Relationship Id="rId244" Type="http://schemas.openxmlformats.org/officeDocument/2006/relationships/hyperlink" Target="https://www.dropbox.com/scl/fi/03qtuximp8qmxgua83zo4/IMG_1910.JPG?rlkey=tavle0d7284pwp7x6qzqspozy&amp;amp;dl=0" TargetMode="External"/><Relationship Id="rId245" Type="http://schemas.openxmlformats.org/officeDocument/2006/relationships/hyperlink" Target="https://www.dropbox.com/scl/fi/h27eq4zjer6135gk7lxps/IMG_1913.JPG?rlkey=0sv3h3j89w4w65dqc97c2887a&amp;amp;dl=0" TargetMode="External"/><Relationship Id="rId246" Type="http://schemas.openxmlformats.org/officeDocument/2006/relationships/hyperlink" Target="https://www.dropbox.com/scl/fi/v6jpvvoqihzwy4bdz5e8z/IMG_1916.JPG?rlkey=xvgccyi3ljh9db0jdpsxedj2c&amp;amp;dl=0" TargetMode="External"/><Relationship Id="rId247" Type="http://schemas.openxmlformats.org/officeDocument/2006/relationships/hyperlink" Target="https://www.dropbox.com/scl/fi/6yri9fwaudt66zk2isli0/IMG_1915.JPG?rlkey=ut4usechropue56o0ck71ktrb&amp;amp;dl=0" TargetMode="External"/><Relationship Id="rId248" Type="http://schemas.openxmlformats.org/officeDocument/2006/relationships/hyperlink" Target="https://www.dropbox.com/scl/fi/vyuplr3y30xnwwno8fetp/IMG_1917.JPG?rlkey=d09h1ybpicnmjayutel3vcgos&amp;amp;dl=0" TargetMode="External"/><Relationship Id="rId249" Type="http://schemas.openxmlformats.org/officeDocument/2006/relationships/hyperlink" Target="https://www.dropbox.com/scl/fi/13dn1jo0iglrpct38y0qd/IMG_1918.JPG?rlkey=h02m1s6x81xtl46zy8jjur7x0&amp;amp;dl=0" TargetMode="External"/><Relationship Id="rId250" Type="http://schemas.openxmlformats.org/officeDocument/2006/relationships/hyperlink" Target="https://www.dropbox.com/scl/fi/mnlp080b5qfoszjrtw94d/IMG_1920.JPG?rlkey=8sjd1uvlvu140yga96fhw0w0i&amp;amp;dl=0" TargetMode="External"/><Relationship Id="rId251" Type="http://schemas.openxmlformats.org/officeDocument/2006/relationships/hyperlink" Target="https://www.dropbox.com/scl/fi/dxzg61lubl4zuodspa3eo/IMG_1922.JPG?rlkey=zfdhwfpgeub717p3nss60itwx&amp;amp;dl=0" TargetMode="External"/><Relationship Id="rId252" Type="http://schemas.openxmlformats.org/officeDocument/2006/relationships/hyperlink" Target="https://www.dropbox.com/scl/fi/b5pe1wxvja4rj0ctzypo3/IMG_1923.JPG?rlkey=173x89sxnt2ldvifounpbsexe&amp;amp;dl=0" TargetMode="External"/><Relationship Id="rId253" Type="http://schemas.openxmlformats.org/officeDocument/2006/relationships/hyperlink" Target="https://www.dropbox.com/scl/fi/i6hrwt109cb5eghrglid5/IMG_1924.JPG?rlkey=3i53es3cbqrp83ddfn3bb891n&amp;amp;dl=0" TargetMode="External"/><Relationship Id="rId254" Type="http://schemas.openxmlformats.org/officeDocument/2006/relationships/hyperlink" Target="https://www.dropbox.com/scl/fi/owkg019kajbtay22qrn7q/IMG_1926.JPG?rlkey=7pppxssf63zssphqdb82v6lro&amp;amp;dl=0" TargetMode="External"/><Relationship Id="rId255" Type="http://schemas.openxmlformats.org/officeDocument/2006/relationships/hyperlink" Target="https://www.dropbox.com/scl/fi/ofsd9fjfmwdldwl0zk4f3/IMG_1930.JPG?rlkey=rf1o7ak52bapdzj10o3l6e9tj&amp;amp;dl=0" TargetMode="External"/><Relationship Id="rId256" Type="http://schemas.openxmlformats.org/officeDocument/2006/relationships/hyperlink" Target="https://www.dropbox.com/scl/fi/mjj4ngg5w93ebglm1uynf/IMG_1927.JPG?rlkey=tb984dfhy4zorbq0ic6m6d1uw&amp;amp;dl=0" TargetMode="External"/><Relationship Id="rId257" Type="http://schemas.openxmlformats.org/officeDocument/2006/relationships/hyperlink" Target="https://www.dropbox.com/scl/fi/7b67zvsn45jfx8j0mbx4k/IMG_1932.JPG?rlkey=o0svqp029m28pn7ldli0j7l6w&amp;amp;dl=0" TargetMode="External"/><Relationship Id="rId258" Type="http://schemas.openxmlformats.org/officeDocument/2006/relationships/hyperlink" Target="https://www.dropbox.com/scl/fi/s6nhim7odw0xv5mjuqezt/IMG_1936.JPG?rlkey=i66pk5w3i8gzg6fxlwf0gnb6o&amp;amp;dl=0" TargetMode="External"/><Relationship Id="rId259" Type="http://schemas.openxmlformats.org/officeDocument/2006/relationships/hyperlink" Target="https://www.dropbox.com/scl/fi/1g740bty0kidvt3sbov3b/IMG_1937.JPG?rlkey=t0eao53d7s7r2lckk7ehetdxh&amp;amp;dl=0" TargetMode="External"/><Relationship Id="rId260" Type="http://schemas.openxmlformats.org/officeDocument/2006/relationships/hyperlink" Target="https://www.dropbox.com/scl/fi/jrcd85x5ovn3ruuy9k7lk/IMG_1941.JPG?rlkey=t6webr99leqdgvr1pcieh2ye6&amp;amp;dl=0" TargetMode="External"/><Relationship Id="rId261" Type="http://schemas.openxmlformats.org/officeDocument/2006/relationships/hyperlink" Target="https://www.dropbox.com/scl/fi/3pl7qo8bh8h0dhy9fa62o/IMG_1942.JPG?rlkey=7zn2vq9y6i6rfuao94ntjy8qv&amp;amp;dl=0" TargetMode="External"/><Relationship Id="rId262" Type="http://schemas.openxmlformats.org/officeDocument/2006/relationships/hyperlink" Target="https://www.dropbox.com/scl/fi/aowv11wzz4z3v7gj5km0c/IMG_1943.JPG?rlkey=0ccdrnl4kmy5yxka8l6nvb993&amp;amp;dl=0" TargetMode="External"/><Relationship Id="rId263" Type="http://schemas.openxmlformats.org/officeDocument/2006/relationships/hyperlink" Target="https://www.dropbox.com/scl/fi/qme7ej7v4ebsn4uxmccwz/IMG_1946.JPG?rlkey=1156snlz69vdxhbupi01hrtgy&amp;amp;dl=0" TargetMode="External"/><Relationship Id="rId264" Type="http://schemas.openxmlformats.org/officeDocument/2006/relationships/hyperlink" Target="https://www.dropbox.com/scl/fi/7kj57r682ovrq19ypad53/IMG_1947.JPG?rlkey=jzjipo3seiis20fliii2nhiba&amp;amp;dl=0" TargetMode="External"/><Relationship Id="rId265" Type="http://schemas.openxmlformats.org/officeDocument/2006/relationships/hyperlink" Target="https://www.dropbox.com/scl/fi/xe7lo4fx3wka3yxr87eix/IMG_1949.JPG?rlkey=efkav2ypzzsnqyq0uw3vjbs31&amp;amp;dl=0" TargetMode="External"/><Relationship Id="rId266" Type="http://schemas.openxmlformats.org/officeDocument/2006/relationships/hyperlink" Target="https://www.dropbox.com/scl/fi/frydzqpq48nme4l4d7xa8/IMG_1948.JPG?rlkey=k6o79y7otjjmdkecqh6u3zvhc&amp;amp;dl=0" TargetMode="External"/><Relationship Id="rId267" Type="http://schemas.openxmlformats.org/officeDocument/2006/relationships/hyperlink" Target="https://www.dropbox.com/scl/fi/lxkx7w31so7jq2i1xyonb/IMG_1950.JPG?rlkey=vku7eyvvgt86n8mw5q3uoo13t&amp;amp;dl=0" TargetMode="External"/><Relationship Id="rId268" Type="http://schemas.openxmlformats.org/officeDocument/2006/relationships/hyperlink" Target="https://www.dropbox.com/scl/fi/iq5h4hoct0f3n9qp6s8td/IMG_1952.JPG?rlkey=988zcdeztw9rc0isktfbi27fc&amp;amp;dl=0" TargetMode="External"/><Relationship Id="rId269" Type="http://schemas.openxmlformats.org/officeDocument/2006/relationships/hyperlink" Target="https://www.dropbox.com/scl/fi/pmsdxsjtom2hgusplymo6/IMG_1953.JPG?rlkey=feuj0pbtdz52cq73s74toi857&amp;amp;dl=0" TargetMode="External"/><Relationship Id="rId270" Type="http://schemas.openxmlformats.org/officeDocument/2006/relationships/hyperlink" Target="https://www.dropbox.com/scl/fi/4jlfcbmjqqy3j1cx6bdjp/IMG_1954.JPG?rlkey=72n01qtc7a9wsqcb2attq7yu0&amp;amp;dl=0" TargetMode="External"/><Relationship Id="rId271" Type="http://schemas.openxmlformats.org/officeDocument/2006/relationships/hyperlink" Target="https://www.dropbox.com/scl/fi/luxmhnyy075aytpglo8yv/IMG_1955.JPG?rlkey=dleuo5cp2gjpo00epovp7wzo5&amp;amp;dl=0" TargetMode="External"/><Relationship Id="rId272" Type="http://schemas.openxmlformats.org/officeDocument/2006/relationships/hyperlink" Target="https://www.dropbox.com/scl/fi/qo0hu4o2zhiwhnjy4gxrh/IMG_1958.JPG?rlkey=vnjwtkv0eiruglgdrz369yfr2&amp;amp;dl=0" TargetMode="External"/><Relationship Id="rId273" Type="http://schemas.openxmlformats.org/officeDocument/2006/relationships/hyperlink" Target="https://www.dropbox.com/scl/fi/67k5xh1adjjdjk0cljvnd/IMG_1956.JPG?rlkey=xqzral3vtjq20kqrtcalq1od3&amp;amp;dl=0" TargetMode="External"/><Relationship Id="rId274" Type="http://schemas.openxmlformats.org/officeDocument/2006/relationships/hyperlink" Target="https://www.dropbox.com/scl/fi/3vauzj6l8jzf3kpfkw91r/IMG_1957.JPG?rlkey=3978pd37obz0a79f1jvxkyr1p&amp;amp;dl=0" TargetMode="External"/><Relationship Id="rId275" Type="http://schemas.openxmlformats.org/officeDocument/2006/relationships/hyperlink" Target="https://www.dropbox.com/scl/fi/xh00dfveb23it8gqy2r7z/IMG_1961.JPG?rlkey=qylj61tyysx44gi2wxjujhado&amp;amp;dl=0" TargetMode="External"/><Relationship Id="rId276" Type="http://schemas.openxmlformats.org/officeDocument/2006/relationships/hyperlink" Target="https://www.dropbox.com/scl/fi/gppbrrju85x0dwcsx636r/IMG_1963.JPG?rlkey=grdhvjc1084zjvmxyd2r37t95&amp;amp;dl=0" TargetMode="External"/><Relationship Id="rId277" Type="http://schemas.openxmlformats.org/officeDocument/2006/relationships/hyperlink" Target="https://www.dropbox.com/scl/fi/ijl8igew8ewr7x0mk6n4m/IMG_1965.JPG?rlkey=pp4crvopzysg26rqbqcslb08c&amp;amp;dl=0" TargetMode="External"/><Relationship Id="rId278" Type="http://schemas.openxmlformats.org/officeDocument/2006/relationships/hyperlink" Target="https://www.dropbox.com/scl/fi/m9mucuk38toxoolpbr0m4/IMG_1966.JPG?rlkey=2evg4bvx1ruft3y5j13lmizy7&amp;amp;dl=0" TargetMode="External"/><Relationship Id="rId279" Type="http://schemas.openxmlformats.org/officeDocument/2006/relationships/hyperlink" Target="https://www.dropbox.com/scl/fi/llbz612wudg7asgxlfd2c/IMG_1970.JPG?rlkey=xh458mnu0ttzwjt1y1tksiqbk&amp;amp;dl=0" TargetMode="External"/><Relationship Id="rId280" Type="http://schemas.openxmlformats.org/officeDocument/2006/relationships/hyperlink" Target="https://www.dropbox.com/scl/fi/sf1ohygls7d8taor7m73s/IMG_1972.JPG?rlkey=8cjq918kga39wojcykm7m4dhc&amp;amp;dl=0" TargetMode="External"/><Relationship Id="rId281" Type="http://schemas.openxmlformats.org/officeDocument/2006/relationships/hyperlink" Target="https://www.dropbox.com/scl/fi/iy0e70jf1zlk7xaduwmrb/IMG_1973.JPG?rlkey=bq0q29h3c8wg34gn900vawip8&amp;amp;dl=0" TargetMode="External"/><Relationship Id="rId282" Type="http://schemas.openxmlformats.org/officeDocument/2006/relationships/hyperlink" Target="https://www.dropbox.com/scl/fi/b85ndag2a7bjxuyzim0kt/IMG_1974.JPG?rlkey=mi5y8srdn6lxk17w24yss21hk&amp;amp;dl=0" TargetMode="External"/><Relationship Id="rId283" Type="http://schemas.openxmlformats.org/officeDocument/2006/relationships/hyperlink" Target="https://www.dropbox.com/scl/fi/770zvovb547jb4x1o26l1/IMG_1977.JPG?rlkey=sgqyzqe7yqdq79cezw9znjxe0&amp;amp;dl=0" TargetMode="External"/><Relationship Id="rId284" Type="http://schemas.openxmlformats.org/officeDocument/2006/relationships/hyperlink" Target="https://www.dropbox.com/scl/fi/qaeoflz4qxmaajxffsvfy/IMG_1976.JPG?rlkey=xxfsbhqc9ag7ldf4slnr9ib4o&amp;amp;dl=0" TargetMode="External"/><Relationship Id="rId285" Type="http://schemas.openxmlformats.org/officeDocument/2006/relationships/hyperlink" Target="https://www.dropbox.com/scl/fi/xrdz317kjn666g30n02jt/IMG_1978.JPG?rlkey=xxkk6g7dl1utvs2lv0z2urjhz&amp;amp;dl=0" TargetMode="External"/><Relationship Id="rId286" Type="http://schemas.openxmlformats.org/officeDocument/2006/relationships/hyperlink" Target="https://www.dropbox.com/scl/fi/xk788cnehulpr9qzjha5p/IMG_1981.JPG?rlkey=rag953t0jt4reu1sftv05nvpg&amp;amp;dl=0" TargetMode="External"/><Relationship Id="rId287" Type="http://schemas.openxmlformats.org/officeDocument/2006/relationships/hyperlink" Target="https://www.dropbox.com/scl/fi/hirbvpqiyzk2p8cili3hu/IMG_1982.JPG?rlkey=5zr9os7d55ziskftegrli4vt8&amp;amp;dl=0" TargetMode="External"/><Relationship Id="rId288" Type="http://schemas.openxmlformats.org/officeDocument/2006/relationships/hyperlink" Target="https://www.dropbox.com/scl/fi/krnmkc91tgtt1r0p86xpp/IMG_1984.JPG?rlkey=ajtkcfrdzpgy8utmfgxkv6mab&amp;amp;dl=0" TargetMode="External"/><Relationship Id="rId289" Type="http://schemas.openxmlformats.org/officeDocument/2006/relationships/hyperlink" Target="https://www.dropbox.com/scl/fi/0rymmsnljyssa3f5kch2l/IMG_1983.JPG?rlkey=53apelrtjbqd152b8rxu44qoa&amp;amp;dl=0" TargetMode="External"/><Relationship Id="rId290" Type="http://schemas.openxmlformats.org/officeDocument/2006/relationships/hyperlink" Target="https://www.dropbox.com/scl/fi/0jnxqqcupdzbm34jzd25q/IMG_1985.JPG?rlkey=wqxododiw0c0fan7gcub2zanx&amp;amp;dl=0" TargetMode="External"/><Relationship Id="rId291" Type="http://schemas.openxmlformats.org/officeDocument/2006/relationships/hyperlink" Target="https://www.dropbox.com/scl/fi/k1i9fbwgk23dui8ip2deq/IMG_1991.JPG?rlkey=6xppox3ban607xkxh285yfq0p&amp;amp;dl=0" TargetMode="External"/><Relationship Id="rId292" Type="http://schemas.openxmlformats.org/officeDocument/2006/relationships/hyperlink" Target="https://www.dropbox.com/scl/fi/wmu2ps1eowlvacpzm9d2a/IMG_1996.JPG?rlkey=9c818yr5cqruzvme2y2bnujgb&amp;amp;dl=0" TargetMode="External"/><Relationship Id="rId293" Type="http://schemas.openxmlformats.org/officeDocument/2006/relationships/hyperlink" Target="https://www.dropbox.com/scl/fi/nicvu8b5yvtq5r4ulanvz/IMG_1997.JPG?rlkey=h41wdacpbgm22i93rsqtgff4i&amp;amp;dl=0" TargetMode="External"/><Relationship Id="rId294" Type="http://schemas.openxmlformats.org/officeDocument/2006/relationships/hyperlink" Target="https://www.dropbox.com/scl/fi/1ji30mctf8x3lx2khzu0i/IMG_1988.JPG?rlkey=cl4e46m1q7io79b19d64l9mqw&amp;amp;dl=0" TargetMode="External"/><Relationship Id="rId295" Type="http://schemas.openxmlformats.org/officeDocument/2006/relationships/hyperlink" Target="https://www.dropbox.com/scl/fi/zt63exivgwnuiczmf5rmd/IMG_1995.JPG?rlkey=5itusnt9niiq61oz4h8obipha&amp;amp;dl=0" TargetMode="External"/><Relationship Id="rId296" Type="http://schemas.openxmlformats.org/officeDocument/2006/relationships/hyperlink" Target="https://www.dropbox.com/scl/fi/hyjhg9jzyhbylim2qoibh/IMG_1999.JPG?rlkey=tytulmciw5eufs9nt933tozoe&amp;amp;dl=0" TargetMode="External"/><Relationship Id="rId297" Type="http://schemas.openxmlformats.org/officeDocument/2006/relationships/hyperlink" Target="https://www.dropbox.com/scl/fi/rvd1qgj1z45hg8tuitdff/IMG_2001.JPG?rlkey=grdbk5gw38rbxpt599w0qtmsx&amp;amp;dl=0" TargetMode="External"/><Relationship Id="rId298" Type="http://schemas.openxmlformats.org/officeDocument/2006/relationships/hyperlink" Target="https://www.dropbox.com/scl/fi/bv0ojr1g6u550zfokyeyx/IMG_2002.JPG?rlkey=to650r86jwe6hb1q7njdyhdaq&amp;amp;dl=0" TargetMode="External"/><Relationship Id="rId299" Type="http://schemas.openxmlformats.org/officeDocument/2006/relationships/hyperlink" Target="https://www.dropbox.com/scl/fi/iik903hsbj91h6ks2awo1/IMG_2006.JPG?rlkey=8kwk8vsgr5fxczzwrhyrxxq12&amp;amp;dl=0" TargetMode="External"/><Relationship Id="rId300" Type="http://schemas.openxmlformats.org/officeDocument/2006/relationships/hyperlink" Target="https://www.dropbox.com/scl/fi/2yr46ksbbfnqvzt6nesp6/IMG_2005.JPG?rlkey=skeose5bk7004qf1h4bx3jqmz&amp;amp;dl=0" TargetMode="External"/><Relationship Id="rId301" Type="http://schemas.openxmlformats.org/officeDocument/2006/relationships/hyperlink" Target="https://www.dropbox.com/scl/fi/1bz83qaac7gevc2u1ee51/IMG_2008.JPG?rlkey=x9qef2uauft0b9x27cakkb947&amp;amp;dl=0" TargetMode="External"/><Relationship Id="rId302" Type="http://schemas.openxmlformats.org/officeDocument/2006/relationships/hyperlink" Target="https://www.dropbox.com/scl/fi/2wuhd4y7vhdpswjy6pmpv/IMG_2011.JPG?rlkey=sjxrqsh6pxotdx42x4b2bf6hz&amp;amp;dl=0" TargetMode="External"/><Relationship Id="rId303" Type="http://schemas.openxmlformats.org/officeDocument/2006/relationships/hyperlink" Target="https://www.dropbox.com/scl/fi/6w0amqjoie1vxhi42m5je/IMG_2015.JPG?rlkey=xipr4epjxtg2jlaiv83ggleia&amp;amp;dl=0" TargetMode="External"/><Relationship Id="rId304" Type="http://schemas.openxmlformats.org/officeDocument/2006/relationships/hyperlink" Target="https://www.dropbox.com/scl/fi/9evkp5c4lglysfq7mlyr1/IMG_2018.JPG?rlkey=04hhik8gxedvvdyxz3qrur7hj&amp;amp;dl=0" TargetMode="External"/><Relationship Id="rId305" Type="http://schemas.openxmlformats.org/officeDocument/2006/relationships/hyperlink" Target="https://www.dropbox.com/scl/fi/8uzb28qie70arj7kor48j/IMG_2021.JPG?rlkey=3439p3d2lv3yix0s14boytytv&amp;amp;dl=0" TargetMode="External"/><Relationship Id="rId306" Type="http://schemas.openxmlformats.org/officeDocument/2006/relationships/hyperlink" Target="https://www.dropbox.com/scl/fi/as0gtaaggjr1f2lovrp0v/IMG_2027.JPG?rlkey=xt54rkzjfka2l4sbzb29z85my&amp;amp;dl=0" TargetMode="External"/></Relationships>
</file>

<file path=xl/worksheets/sheet1.xml><?xml version="1.0" encoding="utf-8"?>
<worksheet xmlns="http://schemas.openxmlformats.org/spreadsheetml/2006/main" xmlns:r="http://schemas.openxmlformats.org/officeDocument/2006/relationships">
  <dimension ref="A1:M310"/>
  <sheetViews>
    <sheetView workbookViewId="0" rightToLeft="0"/>
  </sheetViews>
  <sheetData>
    <row r="1" xml:space="preserve">
      <c r="A1" t="str">
        <v>Bible scripture</v>
      </c>
      <c r="B1" t="str">
        <v>Artwork theme</v>
      </c>
      <c r="C1" t="str">
        <v>Date of artwork produced</v>
      </c>
      <c r="D1" t="str">
        <v>Artwork image</v>
      </c>
      <c r="E1" t="str">
        <v>Artwork description</v>
      </c>
      <c r="F1" t="str">
        <v>Scripture fellowship</v>
      </c>
      <c r="G1" t="str">
        <v>Video clip or other notes</v>
      </c>
      <c r="H1" t="str" xml:space="preserve">
        <v xml:space="preserve">Optimized Selection:_x000d_
Y = Selected_x000d_
N = Unselected</v>
      </c>
      <c r="I1" t="str" xml:space="preserve">
        <v xml:space="preserve">Overall Selection:_x000d_
S1 = 1st Tier Likely, _x000d_
S2 = 2nd Tier Unsatisfactory, _x000d_
S3 = 3rd Tier Poor, _x000d_
N = Unselected</v>
      </c>
      <c r="J1" t="str" xml:space="preserve">
        <v xml:space="preserve">Selection Criteria: _x000d_
(Repetition = M or L) and (Quality = H or M) and (Creativity = H or M) for Y, _x000d_
or otherwise N</v>
      </c>
      <c r="K1" t="str" xml:space="preserve">
        <v xml:space="preserve">Repetition: _x000d_
H = 5 or more, _x000d_
M = 3-4, _x000d_
L = 1-2</v>
      </c>
      <c r="L1" t="str" xml:space="preserve">
        <v xml:space="preserve">Quality:_x000d_
H = Impactful, _x000d_
M = Symbolic, _x000d_
L = Mediocre</v>
      </c>
      <c r="M1" t="str" xml:space="preserve">
        <v xml:space="preserve">Creativity:_x000d_
H = Independent, _x000d_
M = Referencing,_x000d_
L = Imitative</v>
      </c>
    </row>
    <row r="2">
      <c r="A2" t="str">
        <v>Psalms 23</v>
      </c>
      <c r="B2" t="str">
        <v>Willow trees at the river bank</v>
      </c>
      <c r="C2">
        <v>44220</v>
      </c>
      <c r="D2" t="str">
        <v>https://www.dropbox.com/scl/fi/ktl3monte8laadphpp8b2/IMG_1712.JPG?rlkey=5kwq2zr6s6286yrdrtmq3tumn&amp;dl=0</v>
      </c>
      <c r="E2" t="str">
        <v>今日分享【诗篇23篇】诗篇23篇让我们在任何情况下都得着何等安慰、何等盼望、何等有神的同在。感谢主！🙏🙏🙏</v>
      </c>
      <c r="F2" t="str">
        <v>N/A</v>
      </c>
      <c r="G2" t="str">
        <v>N/A</v>
      </c>
      <c r="H2" t="str">
        <v>Y</v>
      </c>
      <c r="I2" t="str">
        <v>S1</v>
      </c>
      <c r="J2" t="str">
        <f>IF(AND(OR(K2="L", K2="M"), OR(L2="H", L2="M"), OR(M2="H", M2="M")),"Y","N")</f>
        <v>Y</v>
      </c>
      <c r="K2" t="str">
        <v>M</v>
      </c>
      <c r="L2" t="str">
        <v>M</v>
      </c>
      <c r="M2" t="str">
        <v>M</v>
      </c>
    </row>
    <row r="3">
      <c r="A3" t="str">
        <v>Psalms 27:4</v>
      </c>
      <c r="B3" t="str">
        <v>Mountain view</v>
      </c>
      <c r="C3">
        <v>44224</v>
      </c>
      <c r="D3" t="str">
        <v>https://www.dropbox.com/scl/fi/23evtu819s7kj4oa9au5i/IMG_1715.JPG?rlkey=jwxtvsiobduv9h02a4ruj3ul8&amp;dl=0</v>
      </c>
      <c r="E3" t="str">
        <v>这些花像真的一样，很有立体感！山峰的松树壮观，满有生命的活力！我们的主就是那样！</v>
      </c>
      <c r="F3" t="str">
        <v>N/A</v>
      </c>
      <c r="G3" t="str">
        <v>N/A</v>
      </c>
      <c r="H3" t="str">
        <v>Y</v>
      </c>
      <c r="I3" t="str">
        <v>S1</v>
      </c>
      <c r="J3" t="str">
        <f>IF(AND(OR(K3="L", K3="M"), OR(L3="H", L3="M"), OR(M3="H", M3="M")),"Y","N")</f>
        <v>Y</v>
      </c>
      <c r="K3" t="str">
        <v>L</v>
      </c>
      <c r="L3" t="str">
        <v>M</v>
      </c>
      <c r="M3" t="str">
        <v>M</v>
      </c>
    </row>
    <row r="4">
      <c r="A4" t="str">
        <v>2 Corinthians 4:5-6</v>
      </c>
      <c r="B4" t="str">
        <v>Palm trees &amp; eagle</v>
      </c>
      <c r="C4">
        <v>44227</v>
      </c>
      <c r="D4" t="str">
        <v>https://www.dropbox.com/scl/fi/fuscsc1zml46nsnhbz9ym/IMG_1719.JPG?rlkey=hetm5fgk5oje07zn4ob8s4soa&amp;dl=0</v>
      </c>
      <c r="E4" t="str">
        <v>N/A</v>
      </c>
      <c r="F4" t="str">
        <v>N/A</v>
      </c>
      <c r="G4" t="str">
        <v>N/A</v>
      </c>
      <c r="H4" t="str">
        <v>Y</v>
      </c>
      <c r="I4" t="str">
        <v>S1</v>
      </c>
      <c r="J4" t="str">
        <f>IF(AND(OR(K4="L", K4="M"), OR(L4="H", L4="M"), OR(M4="H", M4="M")),"Y","N")</f>
        <v>Y</v>
      </c>
      <c r="K4" t="str">
        <v>L</v>
      </c>
      <c r="L4" t="str">
        <v>M</v>
      </c>
      <c r="M4" t="str">
        <v>M</v>
      </c>
    </row>
    <row r="5">
      <c r="A5" t="str">
        <v>1 Corinthians 13:4-8</v>
      </c>
      <c r="B5" t="str">
        <v>Swan couple with babies</v>
      </c>
      <c r="C5">
        <v>44240</v>
      </c>
      <c r="D5" t="str">
        <v>https://www.dropbox.com/scl/fi/5l13rapso5iczkp564kmf/IMG_1726.JPG?rlkey=y3wyh0yo9wtkxvpmcrxsk0ph2&amp;dl=0</v>
      </c>
      <c r="E5" t="str">
        <v>简体中文的爱不是真愛，因為從繁體中文的愛中把心取走了。繁體中文的愛仅反映了一部分真愛，因為心需要恒久忍受，又有恩慈。耶穌是最完美的真愛❤️最極致的真愛❤️為赦免我們的罪被釘死在十字架上❤️</v>
      </c>
      <c r="F5" t="str">
        <v>N/A</v>
      </c>
      <c r="G5" t="str">
        <v>N/A</v>
      </c>
      <c r="H5" t="str">
        <v>Y</v>
      </c>
      <c r="I5" t="str">
        <v>S1</v>
      </c>
      <c r="J5" t="str">
        <f>IF(AND(OR(K5="L", K5="M"), OR(L5="H", L5="M"), OR(M5="H", M5="M")),"Y","N")</f>
        <v>Y</v>
      </c>
      <c r="K5" t="str">
        <v>L</v>
      </c>
      <c r="L5" t="str">
        <v>H</v>
      </c>
      <c r="M5" t="str">
        <v>H</v>
      </c>
    </row>
    <row r="6">
      <c r="A6" t="str">
        <v>Psalms 11:1</v>
      </c>
      <c r="B6" t="str">
        <v>A flock of egrets at the pond</v>
      </c>
      <c r="C6">
        <v>44242</v>
      </c>
      <c r="D6" t="str">
        <v>https://www.dropbox.com/scl/fi/azy7h6qa4nn838vn1uxj0/IMG_1731.JPG?rlkey=borq4ac4ogurq0ns33zxldvxf&amp;dl=0</v>
      </c>
      <c r="E6" t="str">
        <v>N/A</v>
      </c>
      <c r="F6" t="str">
        <v>N/A</v>
      </c>
      <c r="G6" t="str">
        <v>N/A</v>
      </c>
      <c r="H6" t="str">
        <v>Y</v>
      </c>
      <c r="I6" t="str">
        <v>S1</v>
      </c>
      <c r="J6" t="str">
        <f>IF(AND(OR(K6="L", K6="M"), OR(L6="H", L6="M"), OR(M6="H", M6="M")),"Y","N")</f>
        <v>Y</v>
      </c>
      <c r="K6" t="str">
        <v>L</v>
      </c>
      <c r="L6" t="str">
        <v>M</v>
      </c>
      <c r="M6" t="str">
        <v>H</v>
      </c>
    </row>
    <row r="7">
      <c r="A7" t="str">
        <v>Psalms 36:5-8</v>
      </c>
      <c r="B7" t="str">
        <v>eagle at the mountain</v>
      </c>
      <c r="C7">
        <v>44243</v>
      </c>
      <c r="D7" t="str">
        <v>https://www.dropbox.com/scl/fi/j77y7cfpdfmzjehv619um/IMG_1732.JPG?rlkey=qfbl59dr95mecsx8ihbuty6pq&amp;dl=0</v>
      </c>
      <c r="E7" t="str">
        <v>N/A</v>
      </c>
      <c r="F7" t="str">
        <v>N/A</v>
      </c>
      <c r="G7" t="str">
        <v>N/A</v>
      </c>
      <c r="H7" t="str">
        <v>Y</v>
      </c>
      <c r="I7" t="str">
        <v>S1</v>
      </c>
      <c r="J7" t="str">
        <f>IF(AND(OR(K7="L", K7="M"), OR(L7="H", L7="M"), OR(M7="H", M7="M")),"Y","N")</f>
        <v>Y</v>
      </c>
      <c r="K7" t="str">
        <v>L</v>
      </c>
      <c r="L7" t="str">
        <v>M</v>
      </c>
      <c r="M7" t="str">
        <v>M</v>
      </c>
    </row>
    <row r="8">
      <c r="A8" t="str">
        <v>Galatians 5:19-23</v>
      </c>
      <c r="B8" t="str">
        <v>Grapes</v>
      </c>
      <c r="C8">
        <v>44244</v>
      </c>
      <c r="D8" t="str">
        <v>https://www.dropbox.com/scl/fi/txfnqd0hvpx06smaq3n83/IMG_1739.JPG?rlkey=fimsgiqrk9h4xlozhjvf60ujd&amp;dl=0</v>
      </c>
      <c r="E8" t="str">
        <v>N/A</v>
      </c>
      <c r="F8" t="str">
        <v>N/A</v>
      </c>
      <c r="G8" t="str">
        <v>N/A</v>
      </c>
      <c r="H8" t="str">
        <v>Y</v>
      </c>
      <c r="I8" t="str">
        <v>S1</v>
      </c>
      <c r="J8" t="str">
        <f>IF(AND(OR(K8="L", K8="M"), OR(L8="H", L8="M"), OR(M8="H", M8="M")),"Y","N")</f>
        <v>Y</v>
      </c>
      <c r="K8" t="str">
        <v>L</v>
      </c>
      <c r="L8" t="str">
        <v>M</v>
      </c>
      <c r="M8" t="str">
        <v>M</v>
      </c>
    </row>
    <row r="9">
      <c r="A9" t="str">
        <v>Acts 20:35</v>
      </c>
      <c r="B9" t="str">
        <v>Peony flowers (blue)</v>
      </c>
      <c r="C9">
        <v>44245</v>
      </c>
      <c r="D9" t="str">
        <v>https://www.dropbox.com/scl/fi/e7my7dhqbzpuuexvev10j/IMG_1741.JPG?rlkey=5ih1y1pwec0pj8xqwvi9mqnyd&amp;dl=0</v>
      </c>
      <c r="E9" t="str">
        <v>呀，谢谢弟兄的分享，这些经节特别是最后那句啊，施比受更为有福，是我在幼年的时候，母亲一再的教导，外婆的吩咐深深地扎在我心里，谢谢弟兄分享。回想依然犹新！</v>
      </c>
      <c r="F9" t="str">
        <v>N/A</v>
      </c>
      <c r="G9" t="str">
        <v>N/A</v>
      </c>
      <c r="H9" t="str">
        <v>Y</v>
      </c>
      <c r="I9" t="str">
        <v>S1</v>
      </c>
      <c r="J9" t="str">
        <f>IF(AND(OR(K9="L", K9="M"), OR(L9="H", L9="M"), OR(M9="H", M9="M")),"Y","N")</f>
        <v>Y</v>
      </c>
      <c r="K9" t="str">
        <v>L</v>
      </c>
      <c r="L9" t="str">
        <v>M</v>
      </c>
      <c r="M9" t="str">
        <v>H</v>
      </c>
    </row>
    <row r="10">
      <c r="A10" t="str">
        <v>Psalms 18:2</v>
      </c>
      <c r="B10" t="str">
        <v>Mountain view</v>
      </c>
      <c r="C10">
        <v>44253</v>
      </c>
      <c r="D10" t="str">
        <v>https://www.dropbox.com/scl/fi/ibmm9mplkgc5zypffgb9b/IMG_1749.JPG?rlkey=7uin6k512lo6cnq0u1ipwtj3s&amp;dl=0</v>
      </c>
      <c r="E10" t="str">
        <v>N/A</v>
      </c>
      <c r="F10" t="str">
        <v>N/A</v>
      </c>
      <c r="G10" t="str">
        <v>N/A</v>
      </c>
      <c r="H10" t="str">
        <v>Y</v>
      </c>
      <c r="I10" t="str">
        <v>S1</v>
      </c>
      <c r="J10" t="str">
        <f>IF(AND(OR(K10="L", K10="M"), OR(L10="H", L10="M"), OR(M10="H", M10="M")),"Y","N")</f>
        <v>Y</v>
      </c>
      <c r="K10" t="str">
        <v>L</v>
      </c>
      <c r="L10" t="str">
        <v>H</v>
      </c>
      <c r="M10" t="str">
        <v>M</v>
      </c>
    </row>
    <row r="11">
      <c r="A11" t="str">
        <v>Matthew 5:8</v>
      </c>
      <c r="B11" t="str">
        <v>Plum blossom (green)</v>
      </c>
      <c r="C11">
        <v>44267</v>
      </c>
      <c r="D11" t="str">
        <v>https://www.dropbox.com/scl/fi/obc2j72figuvwjpkgbbgn/IMG_1755.JPG?rlkey=sthel07sonsws052vnlb6wbss&amp;dl=0</v>
      </c>
      <c r="E11" t="str">
        <v>N/A</v>
      </c>
      <c r="F11" t="str">
        <v>N/A</v>
      </c>
      <c r="G11" t="str">
        <v>N/A</v>
      </c>
      <c r="H11" t="str">
        <v>Y</v>
      </c>
      <c r="I11" t="str">
        <v>S1</v>
      </c>
      <c r="J11" t="str">
        <f>IF(AND(OR(K11="L", K11="M"), OR(L11="H", L11="M"), OR(M11="H", M11="M")),"Y","N")</f>
        <v>Y</v>
      </c>
      <c r="K11" t="str">
        <v>L</v>
      </c>
      <c r="L11" t="str">
        <v>M</v>
      </c>
      <c r="M11" t="str">
        <v>M</v>
      </c>
    </row>
    <row r="12">
      <c r="A12" t="str">
        <v>Philippians 4:6-7</v>
      </c>
      <c r="B12" t="str">
        <v>Orchid</v>
      </c>
      <c r="C12">
        <v>44273</v>
      </c>
      <c r="D12" t="str">
        <v>https://www.dropbox.com/scl/fi/xu0vc541xxwpnwuvf5oj3/IMG_1756.JPG?rlkey=c85qeal6tmgokzsn5sz20sjpj&amp;dl=0</v>
      </c>
      <c r="E12" t="str">
        <v>N/A</v>
      </c>
      <c r="F12" t="str">
        <v>N/A</v>
      </c>
      <c r="G12" t="str">
        <v>N/A</v>
      </c>
      <c r="H12" t="str">
        <v>Y</v>
      </c>
      <c r="I12" t="str">
        <v>S1</v>
      </c>
      <c r="J12" t="str">
        <f>IF(AND(OR(K12="L", K12="M"), OR(L12="H", L12="M"), OR(M12="H", M12="M")),"Y","N")</f>
        <v>Y</v>
      </c>
      <c r="K12" t="str">
        <v>L</v>
      </c>
      <c r="L12" t="str">
        <v>M</v>
      </c>
      <c r="M12" t="str">
        <v>M</v>
      </c>
    </row>
    <row r="13">
      <c r="A13" t="str">
        <v>Job 37:21-23</v>
      </c>
      <c r="B13" t="str">
        <v>Eagle</v>
      </c>
      <c r="C13">
        <v>44274</v>
      </c>
      <c r="D13" t="str">
        <v>https://www.dropbox.com/scl/fi/sgh8sxfm5qlz6chr7dz9t/IMG_1757.JPG?rlkey=2qgph8c22ouzj35nw92d290vw&amp;dl=0</v>
      </c>
      <c r="E13" t="str">
        <v>N/A</v>
      </c>
      <c r="F13" t="str">
        <v>N/A</v>
      </c>
      <c r="G13" t="str">
        <v>N/A</v>
      </c>
      <c r="H13" t="str">
        <v>Y</v>
      </c>
      <c r="I13" t="str">
        <v>S1</v>
      </c>
      <c r="J13" t="str">
        <f>IF(AND(OR(K13="L", K13="M"), OR(L13="H", L13="M"), OR(M13="H", M13="M")),"Y","N")</f>
        <v>Y</v>
      </c>
      <c r="K13" t="str">
        <v>L</v>
      </c>
      <c r="L13" t="str">
        <v>M</v>
      </c>
      <c r="M13" t="str">
        <v>M</v>
      </c>
    </row>
    <row r="14" xml:space="preserve">
      <c r="A14" t="str">
        <v>1 John 1:7</v>
      </c>
      <c r="B14" t="str">
        <v xml:space="preserve">A couple of eagle </v>
      </c>
      <c r="C14">
        <v>44276</v>
      </c>
      <c r="D14" t="str">
        <v>https://www.dropbox.com/scl/fi/x14rtyx5ux6m4123qvt6g/IMG_1759.JPG?rlkey=3xv67szdjri3ed244jtfer5b5&amp;dl=0</v>
      </c>
      <c r="E14" t="str">
        <v>N/A</v>
      </c>
      <c r="F14" t="str">
        <v>N/A</v>
      </c>
      <c r="G14" t="str" xml:space="preserve">
        <v xml:space="preserve">孙弟兄你好，自从去年十二月份到现在近三个月的，都是主在祝福衪自己的话和圣灵的工作，谢谢弟兄的劳苦在信心里的服事，我也很得鼓励，那些话也一直不断地勉励着自己，提醒着自己常常回到主的话跟前来，得衪的供应和帮助，在祂的安息慈光中跟祂有更多的交通，再次谢谢弟兄在基督里的服事！愿主祝福！愿您全家平安！_x000d_
谢谢陈弟兄的不断鼓励和支持。我每天参加读经，所以生命供应是来自神的。我们一日三餐，错过一顿就会饥饿。但我们活着不单单靠着食物，而是靠着出自神的一切话语，每日供应我们灵命的饥渴和缺乏，成为我们属天生活的享受，感谢赞美主！</v>
      </c>
      <c r="H14" t="str">
        <v>Y</v>
      </c>
      <c r="I14" t="str">
        <v>S1</v>
      </c>
      <c r="J14" t="str">
        <f>IF(AND(OR(K14="L", K14="M"), OR(L14="H", L14="M"), OR(M14="H", M14="M")),"Y","N")</f>
        <v>Y</v>
      </c>
      <c r="K14" t="str">
        <v>L</v>
      </c>
      <c r="L14" t="str">
        <v>H</v>
      </c>
      <c r="M14" t="str">
        <v>M</v>
      </c>
    </row>
    <row r="15">
      <c r="A15" t="str">
        <v>Psalms 69:16</v>
      </c>
      <c r="B15" t="str">
        <v>Eagle</v>
      </c>
      <c r="C15">
        <v>44281</v>
      </c>
      <c r="D15" t="str">
        <v>https://www.dropbox.com/scl/fi/d96j4nd9ss2y50xwvzeun/IMG_1761.JPG?rlkey=2rp7k4d3hsdznm48s0hf48qot&amp;dl=0</v>
      </c>
      <c r="E15" t="str">
        <v>N/A</v>
      </c>
      <c r="F15" t="str">
        <v>N/A</v>
      </c>
      <c r="G15" t="str">
        <v>N/A</v>
      </c>
      <c r="H15" t="str">
        <v>Y</v>
      </c>
      <c r="I15" t="str">
        <v>S1</v>
      </c>
      <c r="J15" t="str">
        <f>IF(AND(OR(K15="L", K15="M"), OR(L15="H", L15="M"), OR(M15="H", M15="M")),"Y","N")</f>
        <v>Y</v>
      </c>
      <c r="K15" t="str">
        <v>L</v>
      </c>
      <c r="L15" t="str">
        <v>M</v>
      </c>
      <c r="M15" t="str">
        <v>M</v>
      </c>
    </row>
    <row r="16">
      <c r="A16" t="str">
        <v>Isaiah 41:10</v>
      </c>
      <c r="B16" t="str">
        <v>Eagle</v>
      </c>
      <c r="C16">
        <v>44286</v>
      </c>
      <c r="D16" t="str">
        <v>https://www.dropbox.com/scl/fi/4n08uf5i5lr9dpy634rii/IMG_1763.JPG?rlkey=17oq3vbx0zi33pboy0dnb3bhs&amp;dl=0</v>
      </c>
      <c r="E16" t="str">
        <v>謝謝欣賞和鼓勵。昨晚又畫一幅，今天把神的話寫上。每次書寫，都要很用心，從而也得收穫非淺。種瓜得瓜,種豆得豆；讀神的話，得生命。今日福音分享【以賽亞書41:10】</v>
      </c>
      <c r="F16" t="str">
        <v>N/A</v>
      </c>
      <c r="G16" t="str">
        <v>N/A</v>
      </c>
      <c r="H16" t="str">
        <v>Y</v>
      </c>
      <c r="I16" t="str">
        <v>S1</v>
      </c>
      <c r="J16" t="str">
        <f>IF(AND(OR(K16="L", K16="M"), OR(L16="H", L16="M"), OR(M16="H", M16="M")),"Y","N")</f>
        <v>Y</v>
      </c>
      <c r="K16" t="str">
        <v>L</v>
      </c>
      <c r="L16" t="str">
        <v>M</v>
      </c>
      <c r="M16" t="str">
        <v>M</v>
      </c>
    </row>
    <row r="17">
      <c r="A17" t="str">
        <v>2 Timothy 4:7-8</v>
      </c>
      <c r="B17" t="str">
        <v>Eagle</v>
      </c>
      <c r="C17">
        <v>44288</v>
      </c>
      <c r="D17" t="str">
        <v>https://www.dropbox.com/scl/fi/y7a3zyvp8jms0zh920xk5/IMG_1764.JPG?rlkey=47mhy5s7vg7nkdnox71jihrxn&amp;dl=0</v>
      </c>
      <c r="E17" t="str">
        <v>今天是耶穌受難紀念日。耶穌被釘十字架乃是順服父神的旨意，從而使我們因祂的寶血得著救恩。今日福音分享【4:7-8節】</v>
      </c>
      <c r="F17" t="str">
        <v>约翰福音11:25，复活在我，生命也在我；信我的人，虽然死了，也必复活。孙弟兄，主日平安！我们感谢主一切的恩典，享受和服事都是在衪复活的生命里，衪的复活是我们一切服事的中心！</v>
      </c>
      <c r="G17" t="str">
        <v>N/A</v>
      </c>
      <c r="H17" t="str">
        <v>Y</v>
      </c>
      <c r="I17" t="str">
        <v>S1</v>
      </c>
      <c r="J17" t="str">
        <f>IF(AND(OR(K17="L", K17="M"), OR(L17="H", L17="M"), OR(M17="H", M17="M")),"Y","N")</f>
        <v>Y</v>
      </c>
      <c r="K17" t="str">
        <v>L</v>
      </c>
      <c r="L17" t="str">
        <v>M</v>
      </c>
      <c r="M17" t="str">
        <v>M</v>
      </c>
    </row>
    <row r="18">
      <c r="A18" t="str">
        <v>Hebrews 11:1</v>
      </c>
      <c r="B18" t="str">
        <v>Mountains and pine trees</v>
      </c>
      <c r="C18">
        <v>44311</v>
      </c>
      <c r="D18" t="str">
        <v>https://www.dropbox.com/scl/fi/bhv4pio9zuj15ok6tnypb/IMG_1769.JPG?rlkey=ehacx6c5w2onju15xqfatrfbo&amp;dl=0</v>
      </c>
      <c r="E18" t="str">
        <v>N/A</v>
      </c>
      <c r="F18" t="str">
        <v>N/A</v>
      </c>
      <c r="G18" t="str">
        <v>N/A</v>
      </c>
      <c r="H18" t="str">
        <v>Y</v>
      </c>
      <c r="I18" t="str">
        <v>S1</v>
      </c>
      <c r="J18" t="str">
        <f>IF(AND(OR(K18="L", K18="M"), OR(L18="H", L18="M"), OR(M18="H", M18="M")),"Y","N")</f>
        <v>Y</v>
      </c>
      <c r="K18" t="str">
        <v>L</v>
      </c>
      <c r="L18" t="str">
        <v>M</v>
      </c>
      <c r="M18" t="str">
        <v>M</v>
      </c>
    </row>
    <row r="19">
      <c r="A19" t="str">
        <v>2 Corinthians 1:4</v>
      </c>
      <c r="B19" t="str">
        <v>Peony &amp; butterflies (red)</v>
      </c>
      <c r="C19">
        <v>44313</v>
      </c>
      <c r="D19" t="str">
        <v>https://www.dropbox.com/scl/fi/oubjvmgomsruh20rxlbp2/IMG_1770.JPG?rlkey=v6gayt575dwtxuuewmnytj45z&amp;dl=0</v>
      </c>
      <c r="E19" t="str">
        <v>N/A</v>
      </c>
      <c r="F19" t="str">
        <v>N/A</v>
      </c>
      <c r="G19" t="str">
        <v>N/A</v>
      </c>
      <c r="H19" t="str">
        <v>Y</v>
      </c>
      <c r="I19" t="str">
        <v>S1</v>
      </c>
      <c r="J19" t="str">
        <f>IF(AND(OR(K19="L", K19="M"), OR(L19="H", L19="M"), OR(M19="H", M19="M")),"Y","N")</f>
        <v>Y</v>
      </c>
      <c r="K19" t="str">
        <v>L</v>
      </c>
      <c r="L19" t="str">
        <v>M</v>
      </c>
      <c r="M19" t="str">
        <v>H</v>
      </c>
    </row>
    <row r="20">
      <c r="A20" t="str">
        <v>Proverbs 18:12</v>
      </c>
      <c r="B20" t="str">
        <v>Orchid</v>
      </c>
      <c r="C20">
        <v>44324</v>
      </c>
      <c r="D20" t="str">
        <v>https://www.dropbox.com/scl/fi/36rpt4jjdbel8afghtl4u/IMG_1774.JPG?rlkey=xg7pajn7dxzcj2l1zff0asc6n&amp;dl=0</v>
      </c>
      <c r="E20" t="str">
        <v>N/A</v>
      </c>
      <c r="F20" t="str">
        <v>N/A</v>
      </c>
      <c r="G20" t="str">
        <v>N/A</v>
      </c>
      <c r="H20" t="str">
        <v>Y</v>
      </c>
      <c r="I20" t="str">
        <v>S1</v>
      </c>
      <c r="J20" t="str">
        <f>IF(AND(OR(K20="L", K20="M"), OR(L20="H", L20="M"), OR(M20="H", M20="M")),"Y","N")</f>
        <v>Y</v>
      </c>
      <c r="K20" t="str">
        <v>L</v>
      </c>
      <c r="L20" t="str">
        <v>M</v>
      </c>
      <c r="M20" t="str">
        <v>M</v>
      </c>
    </row>
    <row r="21">
      <c r="A21" t="str">
        <v>Psalms 128:1-3</v>
      </c>
      <c r="B21" t="str">
        <v>Grapes &amp; Olives</v>
      </c>
      <c r="C21">
        <v>44338</v>
      </c>
      <c r="D21" t="str">
        <v>https://www.dropbox.com/scl/fi/ukw45ketr34573bl2nus2/IMG_1779.JPG?rlkey=trha779m431h08bt4k41s7s5h&amp;dl=0</v>
      </c>
      <c r="E21" t="str">
        <v>谢谢孫弟兄。葡萄树之丰盛，實在悦人眼目，主教会丰满的見證，荣耀基督的所是！诗篇128是我祖父很喜欢的经节，在我家谱中占珍重的地位。1953年贾玉铭牧師曾题此。</v>
      </c>
      <c r="F21" t="str">
        <v>N/A</v>
      </c>
      <c r="G21" t="str">
        <v>N/A</v>
      </c>
      <c r="H21" t="str">
        <v>Y</v>
      </c>
      <c r="I21" t="str">
        <v>S1</v>
      </c>
      <c r="J21" t="str">
        <f>IF(AND(OR(K21="L", K21="M"), OR(L21="H", L21="M"), OR(M21="H", M21="M")),"Y","N")</f>
        <v>Y</v>
      </c>
      <c r="K21" t="str">
        <v>L</v>
      </c>
      <c r="L21" t="str">
        <v>M</v>
      </c>
      <c r="M21" t="str">
        <v>H</v>
      </c>
    </row>
    <row r="22">
      <c r="A22" t="str">
        <v>Psalms 117:1</v>
      </c>
      <c r="B22" t="str">
        <v>Lotus</v>
      </c>
      <c r="C22">
        <v>44359</v>
      </c>
      <c r="D22" t="str">
        <v>https://www.dropbox.com/scl/fi/j4qxky95uz4g8c38138gn/IMG_1781.JPG?rlkey=5077zzlzixmoal4ee54eh4f7n&amp;dl=0</v>
      </c>
      <c r="E22" t="str">
        <v>N/A</v>
      </c>
      <c r="F22" t="str">
        <v>N/A</v>
      </c>
      <c r="G22" t="str">
        <v>N/A</v>
      </c>
      <c r="H22" t="str">
        <v>Y</v>
      </c>
      <c r="I22" t="str">
        <v>S1</v>
      </c>
      <c r="J22" t="str">
        <f>IF(AND(OR(K22="L", K22="M"), OR(L22="H", L22="M"), OR(M22="H", M22="M")),"Y","N")</f>
        <v>Y</v>
      </c>
      <c r="K22" t="str">
        <v>M</v>
      </c>
      <c r="L22" t="str">
        <v>M</v>
      </c>
      <c r="M22" t="str">
        <v>M</v>
      </c>
    </row>
    <row r="23">
      <c r="A23" t="str">
        <v>Proverbs 10:1</v>
      </c>
      <c r="B23" t="str">
        <v>Lotus</v>
      </c>
      <c r="C23">
        <v>44367</v>
      </c>
      <c r="D23" t="str">
        <v>https://www.dropbox.com/scl/fi/0gqs3zbkrhwsnkqvedo8n/IMG_1782.JPG?rlkey=npf4xp0lksfi46eeptmbkrco4&amp;dl=0</v>
      </c>
      <c r="E23" t="str">
        <v>N/A</v>
      </c>
      <c r="F23" t="str">
        <v>N/A</v>
      </c>
      <c r="G23" t="str">
        <v>N/A</v>
      </c>
      <c r="H23" t="str">
        <v>Y</v>
      </c>
      <c r="I23" t="str">
        <v>S1</v>
      </c>
      <c r="J23" t="str">
        <f>IF(AND(OR(K23="L", K23="M"), OR(L23="H", L23="M"), OR(M23="H", M23="M")),"Y","N")</f>
        <v>Y</v>
      </c>
      <c r="K23" t="str">
        <v>M</v>
      </c>
      <c r="L23" t="str">
        <v>M</v>
      </c>
      <c r="M23" t="str">
        <v>M</v>
      </c>
    </row>
    <row r="24">
      <c r="A24" t="str">
        <v>Proverbs 16:24</v>
      </c>
      <c r="B24" t="str">
        <v>Peony (purple)</v>
      </c>
      <c r="C24">
        <v>44374</v>
      </c>
      <c r="D24" t="str">
        <v>https://www.dropbox.com/scl/fi/8omkrpu5ylz73m0sab688/IMG_1784.JPG?rlkey=3ru77nyhg4u358k3wifam224n&amp;dl=0</v>
      </c>
      <c r="E24" t="str">
        <v>谢谢孙弟兄，我们主的话，真是越读越甘甜，特别是主日上午一周的开始，聖徒淸晨能够親切听到看到主的话，愿神祝福衪自己的话！</v>
      </c>
      <c r="F24" t="str">
        <v>N/A</v>
      </c>
      <c r="G24" t="str">
        <v>N/A</v>
      </c>
      <c r="H24" t="str">
        <v>Y</v>
      </c>
      <c r="I24" t="str">
        <v>S1</v>
      </c>
      <c r="J24" t="str">
        <f>IF(AND(OR(K24="L", K24="M"), OR(L24="H", L24="M"), OR(M24="H", M24="M")),"Y","N")</f>
        <v>Y</v>
      </c>
      <c r="K24" t="str">
        <v>M</v>
      </c>
      <c r="L24" t="str">
        <v>M</v>
      </c>
      <c r="M24" t="str">
        <v>M</v>
      </c>
    </row>
    <row r="25">
      <c r="A25" t="str">
        <v>Proverbs 15:33</v>
      </c>
      <c r="B25" t="str">
        <v>Peony (red)</v>
      </c>
      <c r="C25">
        <v>44380</v>
      </c>
      <c r="D25" t="str">
        <v>https://www.dropbox.com/scl/fi/pslt8op7gknpd715coyez/IMG_1786.JPG?rlkey=r5mk75w29eibqb2ur4fyj6fug&amp;dl=0</v>
      </c>
      <c r="E25" t="str">
        <v>N/A</v>
      </c>
      <c r="F25" t="str">
        <v>N/A</v>
      </c>
      <c r="G25" t="str">
        <v>N/A</v>
      </c>
      <c r="H25" t="str">
        <v>Y</v>
      </c>
      <c r="I25" t="str">
        <v>S1</v>
      </c>
      <c r="J25" t="str">
        <f>IF(AND(OR(K25="L", K25="M"), OR(L25="H", L25="M"), OR(M25="H", M25="M")),"Y","N")</f>
        <v>Y</v>
      </c>
      <c r="K25" t="str">
        <v>M</v>
      </c>
      <c r="L25" t="str">
        <v>M</v>
      </c>
      <c r="M25" t="str">
        <v>M</v>
      </c>
    </row>
    <row r="26">
      <c r="A26" t="str">
        <v>John 12:46</v>
      </c>
      <c r="B26" t="str">
        <v>Sun light in the darkness</v>
      </c>
      <c r="C26">
        <v>44388</v>
      </c>
      <c r="D26" t="str">
        <v>https://www.dropbox.com/scl/fi/u9t2n007vpuqwelz6jhx2/IMG_1789.JPG?rlkey=8jv6d108no8us54i4ugt8xg7x&amp;dl=0</v>
      </c>
      <c r="E26" t="str">
        <v>N/A</v>
      </c>
      <c r="F26" t="str">
        <v>N/A</v>
      </c>
      <c r="G26" t="str">
        <v>N/A</v>
      </c>
      <c r="H26" t="str">
        <v>Y</v>
      </c>
      <c r="I26" t="str">
        <v>S1</v>
      </c>
      <c r="J26" t="str">
        <f>IF(AND(OR(K26="L", K26="M"), OR(L26="H", L26="M"), OR(M26="H", M26="M")),"Y","N")</f>
        <v>Y</v>
      </c>
      <c r="K26" t="str">
        <v>L</v>
      </c>
      <c r="L26" t="str">
        <v>M</v>
      </c>
      <c r="M26" t="str">
        <v>M</v>
      </c>
    </row>
    <row r="27">
      <c r="A27" t="str">
        <v>John 8:32</v>
      </c>
      <c r="B27" t="str">
        <v>Flowers</v>
      </c>
      <c r="C27">
        <v>44394</v>
      </c>
      <c r="D27" t="str">
        <v>https://www.dropbox.com/scl/fi/0jgbd3hp2k7da5uv8qwzr/IMG_1791.JPG?rlkey=vtdytvy4efbvvlixhh8enhydr&amp;dl=0</v>
      </c>
      <c r="E27" t="str">
        <v>你的画加上衪的话是迎接衪回来的最佳祭物，與衪同存！</v>
      </c>
      <c r="F27" t="str">
        <v>N/A</v>
      </c>
      <c r="G27" t="str">
        <v>N/A</v>
      </c>
      <c r="H27" t="str">
        <v>Y</v>
      </c>
      <c r="I27" t="str">
        <v>S1</v>
      </c>
      <c r="J27" t="str">
        <f>IF(AND(OR(K27="L", K27="M"), OR(L27="H", L27="M"), OR(M27="H", M27="M")),"Y","N")</f>
        <v>Y</v>
      </c>
      <c r="K27" t="str">
        <v>L</v>
      </c>
      <c r="L27" t="str">
        <v>M</v>
      </c>
      <c r="M27" t="str">
        <v>M</v>
      </c>
    </row>
    <row r="28">
      <c r="A28" t="str">
        <v>Deuteronomy 32:3-4</v>
      </c>
      <c r="B28" t="str">
        <v>Bamboo</v>
      </c>
      <c r="C28">
        <v>44409</v>
      </c>
      <c r="D28" t="str">
        <v>https://www.dropbox.com/scl/fi/gexdb2namt0zheldsolc7/IMG_1797.JPG?rlkey=2ye94bgwn3ew1i635s93623fe&amp;dl=0</v>
      </c>
      <c r="E28" t="str">
        <v>孙弟兄，主日平安！昨天下午四点.我将圣言申命记第三十二章发去大陸，台湾，香港，菲律宾，印尼的圣徒，那里已经是主日清晨五点了。愿 神親自祝福祂自己的话，供衪子民之需！</v>
      </c>
      <c r="F28" t="str">
        <v>N/A</v>
      </c>
      <c r="G28" t="str">
        <v>N/A</v>
      </c>
      <c r="H28" t="str">
        <v>Y</v>
      </c>
      <c r="I28" t="str">
        <v>S1</v>
      </c>
      <c r="J28" t="str">
        <f>IF(AND(OR(K28="L", K28="M"), OR(L28="H", L28="M"), OR(M28="H", M28="M")),"Y","N")</f>
        <v>Y</v>
      </c>
      <c r="K28" t="str">
        <v>L</v>
      </c>
      <c r="L28" t="str">
        <v>M</v>
      </c>
      <c r="M28" t="str">
        <v>M</v>
      </c>
    </row>
    <row r="29">
      <c r="A29" t="str">
        <v>Titus 2:11-13</v>
      </c>
      <c r="B29" t="str">
        <v>Flowers</v>
      </c>
      <c r="C29">
        <v>44415</v>
      </c>
      <c r="D29" t="str">
        <v>https://www.dropbox.com/scl/fi/gxcf71qpl11y3zmv2gwvw/IMG_1798.JPG?rlkey=3wra5us9jxnkqy3jelxnc22st&amp;dl=0</v>
      </c>
      <c r="E29" t="str">
        <v>N/A</v>
      </c>
      <c r="F29" t="str">
        <v>N/A</v>
      </c>
      <c r="G29" t="str">
        <v>N/A</v>
      </c>
      <c r="H29" t="str">
        <v>Y</v>
      </c>
      <c r="I29" t="str">
        <v>S1</v>
      </c>
      <c r="J29" t="str">
        <f>IF(AND(OR(K29="L", K29="M"), OR(L29="H", L29="M"), OR(M29="H", M29="M")),"Y","N")</f>
        <v>Y</v>
      </c>
      <c r="K29" t="str">
        <v>L</v>
      </c>
      <c r="L29" t="str">
        <v>M</v>
      </c>
      <c r="M29" t="str">
        <v>M</v>
      </c>
    </row>
    <row r="30">
      <c r="A30" t="str">
        <v>Isaiah 61:10</v>
      </c>
      <c r="B30" t="str">
        <v>Peony (mixed colors)</v>
      </c>
      <c r="C30">
        <v>44416</v>
      </c>
      <c r="D30" t="str">
        <v>https://www.dropbox.com/scl/fi/o0wnlybo0t4v23lbg4mwy/IMG_1800.JPG?rlkey=zchajzxno3q5qqqdu4o4azx32&amp;dl=0</v>
      </c>
      <c r="E30" t="str">
        <v>N/A</v>
      </c>
      <c r="F30" t="str">
        <v>N/A</v>
      </c>
      <c r="G30" t="str">
        <v>N/A</v>
      </c>
      <c r="H30" t="str">
        <v>Y</v>
      </c>
      <c r="I30" t="str">
        <v>S1</v>
      </c>
      <c r="J30" t="str">
        <f>IF(AND(OR(K30="L", K30="M"), OR(L30="H", L30="M"), OR(M30="H", M30="M")),"Y","N")</f>
        <v>Y</v>
      </c>
      <c r="K30" t="str">
        <v>M</v>
      </c>
      <c r="L30" t="str">
        <v>M</v>
      </c>
      <c r="M30" t="str">
        <v>M</v>
      </c>
    </row>
    <row r="31">
      <c r="A31" t="str">
        <v>Genesis 49:25</v>
      </c>
      <c r="B31" t="str">
        <v>Bamboo</v>
      </c>
      <c r="C31">
        <v>44430</v>
      </c>
      <c r="D31" t="str">
        <v>https://www.dropbox.com/scl/fi/a6e6gcfb7waqemo27fza5/IMG_1804.JPG?rlkey=dlosuy5hk9gqyiygimt25d96w&amp;dl=0</v>
      </c>
      <c r="E31" t="str">
        <v>N/A</v>
      </c>
      <c r="F31" t="str">
        <v>神的話永遠新鲜，全能者将天上的所有的福，就是在基督裡父的一切丰富都给了我们，而我们只要藉着信衪，就全盘收获了✝️</v>
      </c>
      <c r="G31" t="str">
        <v>N/A</v>
      </c>
      <c r="H31" t="str">
        <v>Y</v>
      </c>
      <c r="I31" t="str">
        <v>S1</v>
      </c>
      <c r="J31" t="str">
        <f>IF(AND(OR(K31="L", K31="M"), OR(L31="H", L31="M"), OR(M31="H", M31="M")),"Y","N")</f>
        <v>Y</v>
      </c>
      <c r="K31" t="str">
        <v>L</v>
      </c>
      <c r="L31" t="str">
        <v>M</v>
      </c>
      <c r="M31" t="str">
        <v>H</v>
      </c>
    </row>
    <row r="32">
      <c r="A32" t="str">
        <v>Romans 10:9</v>
      </c>
      <c r="B32" t="str">
        <v>Flowers</v>
      </c>
      <c r="C32">
        <v>44436</v>
      </c>
      <c r="D32" t="str">
        <v>https://www.dropbox.com/scl/fi/kua9apfnzkk24xmbjkcs0/IMG_1805.JPG?rlkey=v2ng20oe9cpsp69z66ttc42ax&amp;dl=0</v>
      </c>
      <c r="E32" t="str">
        <v>N/A</v>
      </c>
      <c r="F32" t="str">
        <v>N/A</v>
      </c>
      <c r="G32" t="str">
        <v>N/A</v>
      </c>
      <c r="H32" t="str">
        <v>Y</v>
      </c>
      <c r="I32" t="str">
        <v>S1</v>
      </c>
      <c r="J32" t="str">
        <f>IF(AND(OR(K32="L", K32="M"), OR(L32="H", L32="M"), OR(M32="H", M32="M")),"Y","N")</f>
        <v>Y</v>
      </c>
      <c r="K32" t="str">
        <v>L</v>
      </c>
      <c r="L32" t="str">
        <v>M</v>
      </c>
      <c r="M32" t="str">
        <v>M</v>
      </c>
    </row>
    <row r="33">
      <c r="A33" t="str">
        <v>Deuteronomy 6:3</v>
      </c>
      <c r="B33" t="str">
        <v>Flowers &amp; banana leaves</v>
      </c>
      <c r="C33">
        <v>44437</v>
      </c>
      <c r="D33" t="str">
        <v>https://www.dropbox.com/scl/fi/dr4vsq6xl5qpf010bgiyw/IMG_1806.JPG?rlkey=otezwxeajwy5zw8nrj5uptmsa&amp;dl=0</v>
      </c>
      <c r="E33" t="str">
        <v>N/A</v>
      </c>
      <c r="F33" t="str">
        <v>N/A</v>
      </c>
      <c r="G33" t="str">
        <v>N/A</v>
      </c>
      <c r="H33" t="str">
        <v>Y</v>
      </c>
      <c r="I33" t="str">
        <v>S1</v>
      </c>
      <c r="J33" t="str">
        <f>IF(AND(OR(K33="L", K33="M"), OR(L33="H", L33="M"), OR(M33="H", M33="M")),"Y","N")</f>
        <v>Y</v>
      </c>
      <c r="K33" t="str">
        <v>L</v>
      </c>
      <c r="L33" t="str">
        <v>M</v>
      </c>
      <c r="M33" t="str">
        <v>H</v>
      </c>
    </row>
    <row r="34">
      <c r="A34" t="str">
        <v>John 15:4</v>
      </c>
      <c r="B34" t="str">
        <v>Grapes (blue)</v>
      </c>
      <c r="C34">
        <v>44449</v>
      </c>
      <c r="D34" t="str">
        <v>https://www.dropbox.com/scl/fi/6q8zcxpqaonid4iiz2xxk/IMG_1810.JPG?rlkey=odineqdhuyc746t4hrkemg6dk&amp;dl=0</v>
      </c>
      <c r="E34" t="str">
        <v>这节圣经也是我祖父早年在家谱首页百句圣言中的记述，要我们像葡萄树多结果子，就是传福音，盼望圣灵今天也同样在我们里面做同样的多结果子的工作，衪得荣耀！主日快乐！</v>
      </c>
      <c r="F34" t="str">
        <v>秉剛弟兄和彭辉姐妹主里请安你！你的書画和经节在聖徒中的供应不是徒然的，神将其记录在生命册上了！</v>
      </c>
      <c r="G34" t="str">
        <v>感謝主！謝謝陳弟兄的分享。主的話太豐富了，祖輩就寫在家譜上真是蒙福。陈弟兄，你一生做神的仆人，传扬福音，不知有多少蒙神拯救，结了无数果子，这是你的冠冕，神的荣耀，主会纪念到永远。而地上看得见、摸得着的，无论何等荣华富贵都会过去。也謝謝秉剛弟兄和彭輝姐妹的問安。時常想念起他們。我們這裡有一位姐妹叫李莉，據說是彭輝大學時的同學。感謝神，在主的身體里，我們肢體始終是聯結在一起的，無論在哪裡，哪個教會。有機會盼望你們來訪。這次高弟兄、高師母的來訪，我們感覺很親切、甜美，把我們再次帶回對Hennepin Ave 教會生活的美好回憶。凡在主裡面的生命經歷和聖靈交通，主都紀念，哈利路亞，感謝贊美神！</v>
      </c>
      <c r="H34" t="str">
        <v>Y</v>
      </c>
      <c r="I34" t="str">
        <v>S1</v>
      </c>
      <c r="J34" t="str">
        <f>IF(AND(OR(K34="L", K34="M"), OR(L34="H", L34="M"), OR(M34="H", M34="M")),"Y","N")</f>
        <v>Y</v>
      </c>
      <c r="K34" t="str">
        <v>M</v>
      </c>
      <c r="L34" t="str">
        <v>M</v>
      </c>
      <c r="M34" t="str">
        <v>H</v>
      </c>
    </row>
    <row r="35">
      <c r="A35" t="str">
        <v>John 15:8</v>
      </c>
      <c r="B35" t="str">
        <v>Grapes (red)</v>
      </c>
      <c r="C35">
        <v>44451</v>
      </c>
      <c r="D35" t="str">
        <v>https://www.dropbox.com/scl/fi/zb9ontcauxguolvod7w1a/IMG_1809.JPG?rlkey=dwwmptqgt8ve3pwsgwykcxkcy&amp;dl=0</v>
      </c>
      <c r="E35" t="str">
        <v>N/A</v>
      </c>
      <c r="F35" t="str">
        <v>N/A</v>
      </c>
      <c r="G35" t="str">
        <v>N/A</v>
      </c>
      <c r="H35" t="str">
        <v>Y</v>
      </c>
      <c r="I35" t="str">
        <v>S1</v>
      </c>
      <c r="J35" t="str">
        <f>IF(AND(OR(K35="L", K35="M"), OR(L35="H", L35="M"), OR(M35="H", M35="M")),"Y","N")</f>
        <v>Y</v>
      </c>
      <c r="K35" t="str">
        <v>M</v>
      </c>
      <c r="L35" t="str">
        <v>M</v>
      </c>
      <c r="M35" t="str">
        <v>M</v>
      </c>
    </row>
    <row r="36">
      <c r="A36" t="str">
        <v>Isaiah 60:19</v>
      </c>
      <c r="B36" t="str">
        <v>Moon &amp; bamboos</v>
      </c>
      <c r="C36">
        <v>44457</v>
      </c>
      <c r="D36" t="str">
        <v>https://www.dropbox.com/scl/fi/xl0dxzm17z81tnjr95scc/IMG_1812.JPG?rlkey=de55cp2r3j5wwari7kwxfpcd2&amp;dl=0</v>
      </c>
      <c r="E36" t="str">
        <v>中秋节感悟分享：我们对月亮主观的感知是时圆时缺，缺的时侯多于圆的时侯。但客观上月亮一直是圆的，看不到圆的原因正是我们生存所在的地球自己在运行过程中遮蔽了来自太阳的光，而月亮本身没有光。同样，在我们生命的经历中时常感受到神的同在，时常又没有感受到神的同在。但创造人和宇宙万物的神始终存在。我们感受不到神的同在正是我们自己被罪的捆绑和阻拦。神是光，而我们本身没有光。耶稣说：“我就是道路、真理、生命。若不借着我，没有人能到父那里去。”（新约圣经•约翰福音14:6）愿我们因信耶稣是上帝的儿子，为让上帝赦免我们的罪受死在十字架上，流出宝血。又因他的复活，神的生命才能进入我们的生命里，彰显神的光和荣耀。中秋节合家团圆、品尝月饼、欣赏月圆每年只是八月十五。而圣经是每日灵粮，弟兄姐妹们和家人朋友们可以天天进入神的话语、经历神圣生命的丰盛和满足。祝愿弟兄姐妹们、家人们、朋友们中秋节愉快，天天平安喜乐[合十][合十][合十]</v>
      </c>
      <c r="F36" t="str">
        <v>N/A</v>
      </c>
      <c r="G36" t="str">
        <v>孙兄弟，这是一位从大陆去中东服事的弟兄的祝谢，谢谢你籍着书法传福音，他表示感谢。他一家在叙利亚和黎巴嫩二处安家服事。</v>
      </c>
      <c r="H36" t="str">
        <v>Y</v>
      </c>
      <c r="I36" t="str">
        <v>S1</v>
      </c>
      <c r="J36" t="str">
        <f>IF(AND(OR(K36="L", K36="M"), OR(L36="H", L36="M"), OR(M36="H", M36="M")),"Y","N")</f>
        <v>Y</v>
      </c>
      <c r="K36" t="str">
        <v>L</v>
      </c>
      <c r="L36" t="str">
        <v>M</v>
      </c>
      <c r="M36" t="str">
        <v>H</v>
      </c>
    </row>
    <row r="37">
      <c r="A37" t="str">
        <v>2 Corinthians 2:14</v>
      </c>
      <c r="B37" t="str">
        <v>Epiphyllum (white)</v>
      </c>
      <c r="C37">
        <v>44471</v>
      </c>
      <c r="D37" t="str">
        <v>https://www.dropbox.com/scl/fi/pt9g9xu7n4uoa91yvqeyu/IMG_1814.JPG?rlkey=dar1k3zbg4lqes2tjf71jxv7z&amp;dl=0</v>
      </c>
      <c r="E37" t="str">
        <v>N/A</v>
      </c>
      <c r="F37" t="str">
        <v>N/A</v>
      </c>
      <c r="G37" t="str">
        <v>N/A</v>
      </c>
      <c r="H37" t="str">
        <v>Y</v>
      </c>
      <c r="I37" t="str">
        <v>S1</v>
      </c>
      <c r="J37" t="str">
        <f>IF(AND(OR(K37="L", K37="M"), OR(L37="H", L37="M"), OR(M37="H", M37="M")),"Y","N")</f>
        <v>Y</v>
      </c>
      <c r="K37" t="str">
        <v>L</v>
      </c>
      <c r="L37" t="str">
        <v>M</v>
      </c>
      <c r="M37" t="str">
        <v>H</v>
      </c>
    </row>
    <row r="38">
      <c r="A38" t="str">
        <v>Exodus 19:4-5</v>
      </c>
      <c r="B38" t="str">
        <v>Eagle</v>
      </c>
      <c r="C38">
        <v>44472</v>
      </c>
      <c r="D38" t="str">
        <v>https://www.dropbox.com/scl/fi/zcfgjk1x7w1my50xr0s2e/IMG_1816.JPG?rlkey=zw6ofwnfzt5266lnet3w7fple&amp;dl=0</v>
      </c>
      <c r="E38" t="str">
        <v>N/A</v>
      </c>
      <c r="F38" t="str">
        <v>N/A</v>
      </c>
      <c r="G38" t="str">
        <v>N/A</v>
      </c>
      <c r="H38" t="str">
        <v>Y</v>
      </c>
      <c r="I38" t="str">
        <v>S1</v>
      </c>
      <c r="J38" t="str">
        <f>IF(AND(OR(K38="L", K38="M"), OR(L38="H", L38="M"), OR(M38="H", M38="M")),"Y","N")</f>
        <v>Y</v>
      </c>
      <c r="K38" t="str">
        <v>L</v>
      </c>
      <c r="L38" t="str">
        <v>H</v>
      </c>
      <c r="M38" t="str">
        <v>M</v>
      </c>
    </row>
    <row r="39">
      <c r="A39" t="str">
        <v>Proverbs 27:5</v>
      </c>
      <c r="B39" t="str">
        <v>Lily &amp; bible</v>
      </c>
      <c r="C39">
        <v>44478</v>
      </c>
      <c r="D39" t="str">
        <v>https://www.dropbox.com/scl/fi/pidkjikqx9h8jb7tf4p5j/IMG_1819.JPG?rlkey=jgecuzihluskii12frsydw762&amp;dl=0</v>
      </c>
      <c r="E39" t="str">
        <v>N/A</v>
      </c>
      <c r="F39" t="str">
        <v>N/A</v>
      </c>
      <c r="G39" t="str">
        <v>N/A</v>
      </c>
      <c r="H39" t="str">
        <v>Y</v>
      </c>
      <c r="I39" t="str">
        <v>S1</v>
      </c>
      <c r="J39" t="str">
        <f>IF(AND(OR(K39="L", K39="M"), OR(L39="H", L39="M"), OR(M39="H", M39="M")),"Y","N")</f>
        <v>Y</v>
      </c>
      <c r="K39" t="str">
        <v>L</v>
      </c>
      <c r="L39" t="str">
        <v>M</v>
      </c>
      <c r="M39" t="str">
        <v>H</v>
      </c>
    </row>
    <row r="40">
      <c r="A40" t="str">
        <v>Proverbs 15:33</v>
      </c>
      <c r="B40" t="str">
        <v>Eagle</v>
      </c>
      <c r="C40">
        <v>44491</v>
      </c>
      <c r="D40" t="str">
        <v>https://www.dropbox.com/scl/fi/stcic948oilz7a61x70s1/IMG_1820.JPG?rlkey=amc81pt1q6zlj00yye5127x1a&amp;dl=0</v>
      </c>
      <c r="E40" t="str">
        <v>N/A</v>
      </c>
      <c r="F40" t="str">
        <v>N/A</v>
      </c>
      <c r="G40" t="str">
        <v>东南亚及大陆，他们已经是星期天的早晨，我把主的话已经发给他们，这是从内蒙古发过来的阿门！享受你在主里的服事！[Worship] 阿们[合十]全地都要来赞美耶和华！神的羔羊在我们头上，成为我们的中保，才能使我们因信称义—義</v>
      </c>
      <c r="H40" t="str">
        <v>Y</v>
      </c>
      <c r="I40" t="str">
        <v>S1</v>
      </c>
      <c r="J40" t="str">
        <f>IF(AND(OR(K40="L", K40="M"), OR(L40="H", L40="M"), OR(M40="H", M40="M")),"Y","N")</f>
        <v>Y</v>
      </c>
      <c r="K40" t="str">
        <v>L</v>
      </c>
      <c r="L40" t="str">
        <v>H</v>
      </c>
      <c r="M40" t="str">
        <v>M</v>
      </c>
    </row>
    <row r="41">
      <c r="A41" t="str">
        <v>Deuteronomy 4:39</v>
      </c>
      <c r="B41" t="str">
        <v>Birch</v>
      </c>
      <c r="C41">
        <v>44506</v>
      </c>
      <c r="D41" t="str">
        <v>https://www.dropbox.com/scl/fi/0srn5f5ikt75wtlg31okz/IMG_1823.JPG?rlkey=pv8yjqzm6s1qi9j034907lkvd&amp;dl=0</v>
      </c>
      <c r="E41" t="str">
        <v>N/A</v>
      </c>
      <c r="F41" t="str">
        <v>N/A</v>
      </c>
      <c r="G41" t="str">
        <v>N/A</v>
      </c>
      <c r="H41" t="str">
        <v>Y</v>
      </c>
      <c r="I41" t="str">
        <v>S1</v>
      </c>
      <c r="J41" t="str">
        <f>IF(AND(OR(K41="L", K41="M"), OR(L41="H", L41="M"), OR(M41="H", M41="M")),"Y","N")</f>
        <v>Y</v>
      </c>
      <c r="K41" t="str">
        <v>L</v>
      </c>
      <c r="L41" t="str">
        <v>M</v>
      </c>
      <c r="M41" t="str">
        <v>H</v>
      </c>
    </row>
    <row r="42">
      <c r="A42" t="str">
        <v>Psalms 123:1</v>
      </c>
      <c r="B42" t="str">
        <v>Beach</v>
      </c>
      <c r="C42">
        <v>44513</v>
      </c>
      <c r="D42" t="str">
        <v>https://www.dropbox.com/scl/fi/sssewmga8dbelm8591hhg/IMG_1824.JPG?rlkey=g0d1wnmxxytjae0uaairsbdqd&amp;dl=0</v>
      </c>
      <c r="E42" t="str">
        <v>N/A</v>
      </c>
      <c r="F42" t="str">
        <v>N/A</v>
      </c>
      <c r="G42" t="str">
        <v>N/A</v>
      </c>
      <c r="H42" t="str">
        <v>Y</v>
      </c>
      <c r="I42" t="str">
        <v>S1</v>
      </c>
      <c r="J42" t="str">
        <f>IF(AND(OR(K42="L", K42="M"), OR(L42="H", L42="M"), OR(M42="H", M42="M")),"Y","N")</f>
        <v>Y</v>
      </c>
      <c r="K42" t="str">
        <v>L</v>
      </c>
      <c r="L42" t="str">
        <v>H</v>
      </c>
      <c r="M42" t="str">
        <v>H</v>
      </c>
    </row>
    <row r="43">
      <c r="A43" t="str">
        <v>Matthew 5:5</v>
      </c>
      <c r="B43" t="str">
        <v>Bamboos</v>
      </c>
      <c r="C43">
        <v>44535</v>
      </c>
      <c r="D43" t="str">
        <v>https://www.dropbox.com/scl/fi/ncbk9lu0qjnn4jzsi3b52/IMG_1828.JPG?rlkey=t5e79lrksl0dry7qb7cge0g4n&amp;dl=0</v>
      </c>
      <c r="E43" t="str">
        <v>N/A</v>
      </c>
      <c r="F43" t="str">
        <v>N/A</v>
      </c>
      <c r="G43" t="str">
        <v>N/A</v>
      </c>
      <c r="H43" t="str">
        <v>Y</v>
      </c>
      <c r="I43" t="str">
        <v>S1</v>
      </c>
      <c r="J43" t="str">
        <f>IF(AND(OR(K43="L", K43="M"), OR(L43="H", L43="M"), OR(M43="H", M43="M")),"Y","N")</f>
        <v>Y</v>
      </c>
      <c r="K43" t="str">
        <v>M</v>
      </c>
      <c r="L43" t="str">
        <v>M</v>
      </c>
      <c r="M43" t="str">
        <v>H</v>
      </c>
    </row>
    <row r="44">
      <c r="A44" t="str">
        <v>Matthew 5:10</v>
      </c>
      <c r="B44" t="str">
        <v>Plum blossom</v>
      </c>
      <c r="C44">
        <v>44535</v>
      </c>
      <c r="D44" t="str">
        <v>https://www.dropbox.com/scl/fi/wp5sxgup6dl7yqd5gffvo/IMG_1827.JPG?rlkey=hwfzsewycdhlf9yi87sb6q2n0&amp;dl=0</v>
      </c>
      <c r="E44" t="str">
        <v>N/A</v>
      </c>
      <c r="F44" t="str">
        <v>N/A</v>
      </c>
      <c r="G44" t="str">
        <v>N/A</v>
      </c>
      <c r="H44" t="str">
        <v>Y</v>
      </c>
      <c r="I44" t="str">
        <v>S1</v>
      </c>
      <c r="J44" t="str">
        <f>IF(AND(OR(K44="L", K44="M"), OR(L44="H", L44="M"), OR(M44="H", M44="M")),"Y","N")</f>
        <v>Y</v>
      </c>
      <c r="K44" t="str">
        <v>M</v>
      </c>
      <c r="L44" t="str">
        <v>M</v>
      </c>
      <c r="M44" t="str">
        <v>H</v>
      </c>
    </row>
    <row r="45">
      <c r="A45" t="str">
        <v>Deuteronomy 11:12</v>
      </c>
      <c r="B45" t="str">
        <v>Grapes</v>
      </c>
      <c r="C45">
        <v>44562</v>
      </c>
      <c r="D45" t="str">
        <v>https://www.dropbox.com/scl/fi/ih0fge79nyzb0i2jdrgtc/IMG_1832.JPG?rlkey=ejwvnjztbvhn9n76wbh59f2k5&amp;dl=0</v>
      </c>
      <c r="E45" t="str">
        <v>N/A</v>
      </c>
      <c r="F45" t="str">
        <v>N/A</v>
      </c>
      <c r="G45" t="str">
        <v>N/A</v>
      </c>
      <c r="H45" t="str">
        <v>Y</v>
      </c>
      <c r="I45" t="str">
        <v>S1</v>
      </c>
      <c r="J45" t="str">
        <f>IF(AND(OR(K45="L", K45="M"), OR(L45="H", L45="M"), OR(M45="H", M45="M")),"Y","N")</f>
        <v>Y</v>
      </c>
      <c r="K45" t="str">
        <v>L</v>
      </c>
      <c r="L45" t="str">
        <v>M</v>
      </c>
      <c r="M45" t="str">
        <v>M</v>
      </c>
    </row>
    <row r="46">
      <c r="A46" t="str">
        <v>Joshua 24:15</v>
      </c>
      <c r="B46" t="str">
        <v>Cherry blossom</v>
      </c>
      <c r="C46">
        <v>44588</v>
      </c>
      <c r="D46" t="str">
        <v>https://www.dropbox.com/scl/fi/lwfhbnbzbmg764b11qfiu/IMG_2627.JPG?rlkey=rodw4lvndqrh0n1r5zr768a37&amp;dl=0</v>
      </c>
      <c r="E46" t="str">
        <v>N/A</v>
      </c>
      <c r="F46" t="str">
        <v>N/A</v>
      </c>
      <c r="G46" t="str">
        <v>N/A</v>
      </c>
      <c r="H46" t="str">
        <v>Y</v>
      </c>
      <c r="I46" t="str">
        <v>S1</v>
      </c>
      <c r="J46" t="str">
        <f>IF(AND(OR(K46="L", K46="M"), OR(L46="H", L46="M"), OR(M46="H", M46="M")),"Y","N")</f>
        <v>Y</v>
      </c>
      <c r="K46" t="str">
        <v>L</v>
      </c>
      <c r="L46" t="str">
        <v>H</v>
      </c>
      <c r="M46" t="str">
        <v>M</v>
      </c>
    </row>
    <row r="47">
      <c r="A47" t="str">
        <v>2 Corinthians 5:17</v>
      </c>
      <c r="B47" t="str">
        <v>Narcissus</v>
      </c>
      <c r="C47">
        <v>44592</v>
      </c>
      <c r="D47" t="str">
        <v>https://www.dropbox.com/scl/fi/3eobigrav5trrwbq46u0j/IMG_1834.JPG?rlkey=mbd9uwcfx6zglfxhugeqo2iek&amp;dl=0</v>
      </c>
      <c r="E47" t="str">
        <v>N/A</v>
      </c>
      <c r="F47" t="str">
        <v>N/A</v>
      </c>
      <c r="G47" t="str">
        <v>你的書画南京聖徒从中得供应，荣耀归主名！</v>
      </c>
      <c r="H47" t="str">
        <v>Y</v>
      </c>
      <c r="I47" t="str">
        <v>S1</v>
      </c>
      <c r="J47" t="str">
        <f>IF(AND(OR(K47="L", K47="M"), OR(L47="H", L47="M"), OR(M47="H", M47="M")),"Y","N")</f>
        <v>Y</v>
      </c>
      <c r="K47" t="str">
        <v>L</v>
      </c>
      <c r="L47" t="str">
        <v>M</v>
      </c>
      <c r="M47" t="str">
        <v>M</v>
      </c>
    </row>
    <row r="48">
      <c r="A48" t="str">
        <v>Hosea 6:3</v>
      </c>
      <c r="B48" t="str">
        <v>Bamboos in the rain</v>
      </c>
      <c r="C48">
        <v>44630</v>
      </c>
      <c r="D48" t="str">
        <v>https://www.dropbox.com/scl/fi/wzccythlwmtokh7uca0xb/IMG_1844.JPG?rlkey=cppmn5guup07syx8habina73s&amp;dl=0</v>
      </c>
      <c r="E48" t="str">
        <v>N/A</v>
      </c>
      <c r="F48" t="str">
        <v>N/A</v>
      </c>
      <c r="G48" t="str">
        <v>N/A</v>
      </c>
      <c r="H48" t="str">
        <v>Y</v>
      </c>
      <c r="I48" t="str">
        <v>S1</v>
      </c>
      <c r="J48" t="str">
        <f>IF(AND(OR(K48="L", K48="M"), OR(L48="H", L48="M"), OR(M48="H", M48="M")),"Y","N")</f>
        <v>Y</v>
      </c>
      <c r="K48" t="str">
        <v>L</v>
      </c>
      <c r="L48" t="str">
        <v>M</v>
      </c>
      <c r="M48" t="str">
        <v>H</v>
      </c>
    </row>
    <row r="49">
      <c r="A49" t="str">
        <v>Deuteronomy 28:49a</v>
      </c>
      <c r="B49" t="str">
        <v>Eagle &amp; snake</v>
      </c>
      <c r="C49">
        <v>44632</v>
      </c>
      <c r="D49" t="str">
        <v>https://www.dropbox.com/scl/fi/5u6ioxfqjfiytezqwqmpg/IMG_1845.JPG?rlkey=83hll36sj5up4tagldadwurhw&amp;dl=0</v>
      </c>
      <c r="E49" t="str">
        <v>N/A</v>
      </c>
      <c r="F49" t="str">
        <v>N/A</v>
      </c>
      <c r="G49" t="str">
        <v>N/A</v>
      </c>
      <c r="H49" t="str">
        <v>Y</v>
      </c>
      <c r="I49" t="str">
        <v>S1</v>
      </c>
      <c r="J49" t="str">
        <f>IF(AND(OR(K49="L", K49="M"), OR(L49="H", L49="M"), OR(M49="H", M49="M")),"Y","N")</f>
        <v>Y</v>
      </c>
      <c r="K49" t="str">
        <v>L</v>
      </c>
      <c r="L49" t="str">
        <v>M</v>
      </c>
      <c r="M49" t="str">
        <v>H</v>
      </c>
    </row>
    <row r="50">
      <c r="A50" t="str">
        <v>Song of Solomon 2:2</v>
      </c>
      <c r="B50" t="str">
        <v>Lily</v>
      </c>
      <c r="C50">
        <v>44661</v>
      </c>
      <c r="D50" t="str">
        <v>https://www.dropbox.com/scl/fi/4szwgx9w7v7osel977v48/IMG_1847.JPG?rlkey=lq5tdqaw16o16je169wyeekbd&amp;dl=0</v>
      </c>
      <c r="E50" t="str">
        <v>N/A</v>
      </c>
      <c r="F50" t="str">
        <v>N/A</v>
      </c>
      <c r="G50" t="str">
        <v>N/A</v>
      </c>
      <c r="H50" t="str">
        <v>Y</v>
      </c>
      <c r="I50" t="str">
        <v>S1</v>
      </c>
      <c r="J50" t="str">
        <f>IF(AND(OR(K50="L", K50="M"), OR(L50="H", L50="M"), OR(M50="H", M50="M")),"Y","N")</f>
        <v>Y</v>
      </c>
      <c r="K50" t="str">
        <v>L</v>
      </c>
      <c r="L50" t="str">
        <v>M</v>
      </c>
      <c r="M50" t="str">
        <v>H</v>
      </c>
    </row>
    <row r="51">
      <c r="A51" t="str">
        <v>Hosea 6:3</v>
      </c>
      <c r="B51" t="str">
        <v>Lotus in the rain</v>
      </c>
      <c r="C51">
        <v>44742</v>
      </c>
      <c r="D51" t="str">
        <v>https://www.dropbox.com/scl/fi/0di4vvciwkoncbqyvaw0m/IMG_1867.JPG?rlkey=adb65kdkmme6gzf9kv4fztqy8&amp;dl=0</v>
      </c>
      <c r="E51" t="str">
        <v>N/A</v>
      </c>
      <c r="F51" t="str">
        <v>N/A</v>
      </c>
      <c r="G51" t="str">
        <v>东南亚巳经主日清晨，耶和华出现有如晨光和甘雨，供应聖徒灵命的享受！</v>
      </c>
      <c r="H51" t="str">
        <v>Y</v>
      </c>
      <c r="I51" t="str">
        <v>S1</v>
      </c>
      <c r="J51" t="str">
        <f>IF(AND(OR(K51="L", K51="M"), OR(L51="H", L51="M"), OR(M51="H", M51="M")),"Y","N")</f>
        <v>Y</v>
      </c>
      <c r="K51" t="str">
        <v>L</v>
      </c>
      <c r="L51" t="str">
        <v>M</v>
      </c>
      <c r="M51" t="str">
        <v>H</v>
      </c>
    </row>
    <row r="52">
      <c r="A52" t="str">
        <v>1 Peter 1:16</v>
      </c>
      <c r="B52" t="str">
        <v>Lotus</v>
      </c>
      <c r="C52">
        <v>44742</v>
      </c>
      <c r="D52" t="str">
        <v>https://www.dropbox.com/scl/fi/ji6fuhj8xap05o40qn5vl/IMG_1866.JPG?rlkey=fvvisvkwai08a1n6rlih5qddk&amp;dl=0</v>
      </c>
      <c r="E52" t="str">
        <v>N/A</v>
      </c>
      <c r="F52" t="str">
        <v>N/A</v>
      </c>
      <c r="G52" t="str">
        <v>N/A</v>
      </c>
      <c r="H52" t="str">
        <v>Y</v>
      </c>
      <c r="I52" t="str">
        <v>S1</v>
      </c>
      <c r="J52" t="str">
        <f>IF(AND(OR(K52="L", K52="M"), OR(L52="H", L52="M"), OR(M52="H", M52="M")),"Y","N")</f>
        <v>Y</v>
      </c>
      <c r="K52" t="str">
        <v>M</v>
      </c>
      <c r="L52" t="str">
        <v>M</v>
      </c>
      <c r="M52" t="str">
        <v>M</v>
      </c>
    </row>
    <row r="53">
      <c r="A53" t="str">
        <v>1 John 4:16b</v>
      </c>
      <c r="B53" t="str">
        <v>Peony (blue)</v>
      </c>
      <c r="C53">
        <v>44758</v>
      </c>
      <c r="D53" t="str">
        <v>https://www.dropbox.com/scl/fi/qd3gx4df9azfig0wo7311/IMG_1870.JPG?rlkey=mnz8946u3h3wsvjmw7m9955wi&amp;dl=0</v>
      </c>
      <c r="E53" t="str">
        <v>N/A</v>
      </c>
      <c r="F53" t="str">
        <v>N/A</v>
      </c>
      <c r="G53" t="str">
        <v>🙏🏽 Amen! 今天此聖言下午3时（东南亚早上4時）发出！ 主！祝福祢的话！</v>
      </c>
      <c r="H53" t="str">
        <v>Y</v>
      </c>
      <c r="I53" t="str">
        <v>S1</v>
      </c>
      <c r="J53" t="str">
        <f>IF(AND(OR(K53="L", K53="M"), OR(L53="H", L53="M"), OR(M53="H", M53="M")),"Y","N")</f>
        <v>Y</v>
      </c>
      <c r="K53" t="str">
        <v>L</v>
      </c>
      <c r="L53" t="str">
        <v>H</v>
      </c>
      <c r="M53" t="str">
        <v>H</v>
      </c>
    </row>
    <row r="54">
      <c r="A54" t="str">
        <v>Galatians 5:22-23a</v>
      </c>
      <c r="B54" t="str">
        <v>Grapes in variety of colors</v>
      </c>
      <c r="C54">
        <v>44800</v>
      </c>
      <c r="D54" t="str">
        <v>https://www.dropbox.com/scl/fi/j2kcw96juny5p2r7y0xgs/IMG_1875.JPG?rlkey=fa3wilipbjk49fif2nzl06ks6&amp;dl=0</v>
      </c>
      <c r="E54" t="str">
        <v>是新鲜的、有机的、纯洁的、非转基因的、无添加剂的，非常甘甜，因为都是从神那里来的，吃了无不感谢赞美神！</v>
      </c>
      <c r="F54" t="str">
        <v>N/A</v>
      </c>
      <c r="G54" t="str">
        <v>这些果子都是真正的Organic ！</v>
      </c>
      <c r="H54" t="str">
        <v>Y</v>
      </c>
      <c r="I54" t="str">
        <v>S1</v>
      </c>
      <c r="J54" t="str">
        <f>IF(AND(OR(K54="L", K54="M"), OR(L54="H", L54="M"), OR(M54="H", M54="M")),"Y","N")</f>
        <v>Y</v>
      </c>
      <c r="K54" t="str">
        <v>M</v>
      </c>
      <c r="L54" t="str">
        <v>M</v>
      </c>
      <c r="M54" t="str">
        <v>H</v>
      </c>
    </row>
    <row r="55">
      <c r="A55" t="str">
        <v>Psalms 35:9</v>
      </c>
      <c r="B55" t="str">
        <v>Floral art</v>
      </c>
      <c r="C55">
        <v>44898</v>
      </c>
      <c r="D55" t="str">
        <v>https://www.dropbox.com/scl/fi/mm6wbkf8ck4mg4jx6xl7e/IMG_1881.JPG?rlkey=xmk5xebevsksg36jt0oui57xa&amp;dl=0</v>
      </c>
      <c r="E55" t="str">
        <v>N/A</v>
      </c>
      <c r="F55" t="str">
        <v>N/A</v>
      </c>
      <c r="G55" t="str">
        <v>N/A</v>
      </c>
      <c r="H55" t="str">
        <v>Y</v>
      </c>
      <c r="I55" t="str">
        <v>S1</v>
      </c>
      <c r="J55" t="str">
        <f>IF(AND(OR(K55="L", K55="M"), OR(L55="H", L55="M"), OR(M55="H", M55="M")),"Y","N")</f>
        <v>Y</v>
      </c>
      <c r="K55" t="str">
        <v>L</v>
      </c>
      <c r="L55" t="str">
        <v>M</v>
      </c>
      <c r="M55" t="str">
        <v>H</v>
      </c>
    </row>
    <row r="56">
      <c r="A56" t="str">
        <v>Psalms 125:1</v>
      </c>
      <c r="B56" t="str">
        <v>Mountain, cloud, and waterfall</v>
      </c>
      <c r="C56">
        <v>44914</v>
      </c>
      <c r="D56" t="str">
        <v>https://www.dropbox.com/scl/fi/hbb8wwoxo4oopr9khvriy/IMG_1890.JPG?rlkey=p6d4u5iwxrrwmsj7pncf1ew1f&amp;dl=0</v>
      </c>
      <c r="E56" t="str">
        <v>N/A</v>
      </c>
      <c r="F56" t="str">
        <v>N/A</v>
      </c>
      <c r="G56" t="str">
        <v>N/A</v>
      </c>
      <c r="H56" t="str">
        <v>Y</v>
      </c>
      <c r="I56" t="str">
        <v>S1</v>
      </c>
      <c r="J56" t="str">
        <f>IF(AND(OR(K56="L", K56="M"), OR(L56="H", L56="M"), OR(M56="H", M56="M")),"Y","N")</f>
        <v>Y</v>
      </c>
      <c r="K56" t="str">
        <v>L</v>
      </c>
      <c r="L56" t="str">
        <v>H</v>
      </c>
      <c r="M56" t="str">
        <v>H</v>
      </c>
    </row>
    <row r="57">
      <c r="A57" t="str">
        <v>Psalms 50:1</v>
      </c>
      <c r="B57" t="str">
        <v>Orchid with the moon</v>
      </c>
      <c r="C57">
        <v>44919</v>
      </c>
      <c r="D57" t="str">
        <v>https://www.dropbox.com/scl/fi/jx08csq4287t7f7m6o353/IMG_1892.JPG?rlkey=2bvyxu5teq8bbs476v26v4exq&amp;dl=0</v>
      </c>
      <c r="E57" t="str">
        <v>N/A</v>
      </c>
      <c r="F57" t="str">
        <v>N/A</v>
      </c>
      <c r="G57" t="str">
        <v>N/A</v>
      </c>
      <c r="H57" t="str">
        <v>Y</v>
      </c>
      <c r="I57" t="str">
        <v>S1</v>
      </c>
      <c r="J57" t="str">
        <f>IF(AND(OR(K57="L", K57="M"), OR(L57="H", L57="M"), OR(M57="H", M57="M")),"Y","N")</f>
        <v>Y</v>
      </c>
      <c r="K57" t="str">
        <v>L</v>
      </c>
      <c r="L57" t="str">
        <v>M</v>
      </c>
      <c r="M57" t="str">
        <v>H</v>
      </c>
    </row>
    <row r="58" xml:space="preserve">
      <c r="A58" t="str">
        <v>Psalms 19:9</v>
      </c>
      <c r="B58" t="str">
        <v>Bamboo covered by snow and moon light</v>
      </c>
      <c r="C58">
        <v>44919</v>
      </c>
      <c r="D58" t="str">
        <v>https://www.dropbox.com/scl/fi/6gljk723lvcinu6t8nvho/IMG_1893.JPG?rlkey=ppckwvunpaoyw4wfgisjmotq1&amp;dl=0</v>
      </c>
      <c r="E58" t="str">
        <v>N/A</v>
      </c>
      <c r="F58" t="str" xml:space="preserve">
        <v xml:space="preserve">孙弟兄，有弟兄问那人像是谁？_x000d_
像那提问的弟兄姐妹。那是月亮，代表著弟兄姐妹的心，嚮往耶和華我們的神。我們的生命是神的光在我們身上的反照。如果我們生命中沒有神的光照，都只有黑暗。這是一幅寒冬中被雪壓迫的竹子，寓意末世對基督徒的邪惡和殘酷。但當主再來的時候，黑暗將過去，太陽炽热的光照會將雪消融，有公義的審判，得勝的將與主同在，掌管世界。「我等候耶和華，我的心等候，我也仰望他的話。我的心等候主，勝於守夜的等候天亮，勝於守夜的等候天亮。」詩篇 130:5-6 和合本-繁)</v>
      </c>
      <c r="G58" t="str">
        <v>N/A</v>
      </c>
      <c r="H58" t="str">
        <v>Y</v>
      </c>
      <c r="I58" t="str">
        <v>S1</v>
      </c>
      <c r="J58" t="str">
        <f>IF(AND(OR(K58="L", K58="M"), OR(L58="H", L58="M"), OR(M58="H", M58="M")),"Y","N")</f>
        <v>Y</v>
      </c>
      <c r="K58" t="str">
        <v>L</v>
      </c>
      <c r="L58" t="str">
        <v>M</v>
      </c>
      <c r="M58" t="str">
        <v>H</v>
      </c>
    </row>
    <row r="59">
      <c r="A59" t="str">
        <v>Psalms 89:14</v>
      </c>
      <c r="B59" t="str">
        <v>Mountains with pine trees</v>
      </c>
      <c r="C59">
        <v>44920</v>
      </c>
      <c r="D59" t="str">
        <v>https://www.dropbox.com/scl/fi/zispfvdc2nve4t9tb603u/IMG_1894.JPG?rlkey=g7oe88ut5300kevfhaoplaa9b&amp;dl=0</v>
      </c>
      <c r="E59" t="str">
        <v>N/A</v>
      </c>
      <c r="F59" t="str">
        <v>N/A</v>
      </c>
      <c r="G59" t="str">
        <v>N/A</v>
      </c>
      <c r="H59" t="str">
        <v>Y</v>
      </c>
      <c r="I59" t="str">
        <v>S1</v>
      </c>
      <c r="J59" t="str">
        <f>IF(AND(OR(K59="L", K59="M"), OR(L59="H", L59="M"), OR(M59="H", M59="M")),"Y","N")</f>
        <v>Y</v>
      </c>
      <c r="K59" t="str">
        <v>L</v>
      </c>
      <c r="L59" t="str">
        <v>M</v>
      </c>
      <c r="M59" t="str">
        <v>M</v>
      </c>
    </row>
    <row r="60">
      <c r="A60" t="str">
        <v>Psalms 103:2</v>
      </c>
      <c r="B60" t="str">
        <v>Sister rejoiced at the cypress tree</v>
      </c>
      <c r="C60">
        <v>44927</v>
      </c>
      <c r="D60" t="str">
        <v>https://www.dropbox.com/scl/fi/ksch4lajyu09avy7pmv9g/IMG_1896.JPG?rlkey=kr6d1qhesjfe1sx8e3l8ape4v&amp;dl=0</v>
      </c>
      <c r="E60" t="str">
        <v>N/A</v>
      </c>
      <c r="F60" t="str">
        <v>N/A</v>
      </c>
      <c r="G60" t="str">
        <v>N/A</v>
      </c>
      <c r="H60" t="str">
        <v>Y</v>
      </c>
      <c r="I60" t="str">
        <v>S1</v>
      </c>
      <c r="J60" t="str">
        <f>IF(AND(OR(K60="L", K60="M"), OR(L60="H", L60="M"), OR(M60="H", M60="M")),"Y","N")</f>
        <v>Y</v>
      </c>
      <c r="K60" t="str">
        <v>L</v>
      </c>
      <c r="L60" t="str">
        <v>M</v>
      </c>
      <c r="M60" t="str">
        <v>H</v>
      </c>
    </row>
    <row r="61">
      <c r="A61" t="str">
        <v>Psalms 65:11</v>
      </c>
      <c r="B61" t="str">
        <v>Grape vine</v>
      </c>
      <c r="C61">
        <v>44944</v>
      </c>
      <c r="D61" t="str">
        <v>https://www.dropbox.com/scl/fi/pm7nzcybu7vbs3rbligqy/IMG_1904.JPG?rlkey=qh68q6j279evafki3bitvunia&amp;dl=0</v>
      </c>
      <c r="E61" t="str">
        <v>N/A</v>
      </c>
      <c r="F61" t="str">
        <v>N/A</v>
      </c>
      <c r="G61" t="str">
        <v>N/A</v>
      </c>
      <c r="H61" t="str">
        <v>Y</v>
      </c>
      <c r="I61" t="str">
        <v>S1</v>
      </c>
      <c r="J61" t="str">
        <f>IF(AND(OR(K61="L", K61="M"), OR(L61="H", L61="M"), OR(M61="H", M61="M")),"Y","N")</f>
        <v>Y</v>
      </c>
      <c r="K61" t="str">
        <v>L</v>
      </c>
      <c r="L61" t="str">
        <v>M</v>
      </c>
      <c r="M61" t="str">
        <v>H</v>
      </c>
    </row>
    <row r="62">
      <c r="A62" t="str">
        <v>Mark 12:30</v>
      </c>
      <c r="B62" t="str">
        <v>Penoy</v>
      </c>
      <c r="C62">
        <v>45019</v>
      </c>
      <c r="D62" t="str">
        <v>https://www.dropbox.com/scl/fi/tjzhlrvuop3zzhvw8pw4o/IMG_1909.JPG?rlkey=8r0ulaz32uo63l3f88zutcrhg&amp;dl=0</v>
      </c>
      <c r="E62" t="str">
        <v>N/A</v>
      </c>
      <c r="F62" t="str">
        <v>N/A</v>
      </c>
      <c r="G62" t="str">
        <v>N/A</v>
      </c>
      <c r="H62" t="str">
        <v>Y</v>
      </c>
      <c r="I62" t="str">
        <v>S1</v>
      </c>
      <c r="J62" t="str">
        <f>IF(AND(OR(K62="L", K62="M"), OR(L62="H", L62="M"), OR(M62="H", M62="M")),"Y","N")</f>
        <v>Y</v>
      </c>
      <c r="K62" t="str">
        <v>M</v>
      </c>
      <c r="L62" t="str">
        <v>H</v>
      </c>
      <c r="M62" t="str">
        <v>H</v>
      </c>
    </row>
    <row r="63">
      <c r="A63" t="str">
        <v>Psalms 147:11</v>
      </c>
      <c r="B63" t="str">
        <v>Sister in he mountain</v>
      </c>
      <c r="C63">
        <v>45038</v>
      </c>
      <c r="D63" t="str">
        <v>https://www.dropbox.com/scl/fi/i4q9nnaalots7tzud4jnf/IMG_1911.JPG?rlkey=sf7blj0j591i8j0vmuqqfjo69&amp;dl=0</v>
      </c>
      <c r="E63" t="str">
        <v>N/A</v>
      </c>
      <c r="F63" t="str">
        <v>N/A</v>
      </c>
      <c r="G63" t="str">
        <v>N/A</v>
      </c>
      <c r="H63" t="str">
        <v>Y</v>
      </c>
      <c r="I63" t="str">
        <v>S1</v>
      </c>
      <c r="J63" t="str">
        <f>IF(AND(OR(K63="L", K63="M"), OR(L63="H", L63="M"), OR(M63="H", M63="M")),"Y","N")</f>
        <v>Y</v>
      </c>
      <c r="K63" t="str">
        <v>L</v>
      </c>
      <c r="L63" t="str">
        <v>M</v>
      </c>
      <c r="M63" t="str">
        <v>M</v>
      </c>
    </row>
    <row r="64">
      <c r="A64" t="str">
        <v>Exodus 20:12</v>
      </c>
      <c r="B64" t="str">
        <v>Hydrangeas for mother's day</v>
      </c>
      <c r="C64">
        <v>45059</v>
      </c>
      <c r="D64" t="str">
        <v>https://www.dropbox.com/scl/fi/v5vkjqqf30pdvw0ncx3hq/IMG_1912.JPG?rlkey=qfkz5l2f3e0t2zduzdkck4ys3&amp;dl=0</v>
      </c>
      <c r="E64" t="str">
        <v>N/A</v>
      </c>
      <c r="F64" t="str">
        <v>N/A</v>
      </c>
      <c r="G64" t="str">
        <v>N/A</v>
      </c>
      <c r="H64" t="str">
        <v>Y</v>
      </c>
      <c r="I64" t="str">
        <v>S1</v>
      </c>
      <c r="J64" t="str">
        <f>IF(AND(OR(K64="L", K64="M"), OR(L64="H", L64="M"), OR(M64="H", M64="M")),"Y","N")</f>
        <v>Y</v>
      </c>
      <c r="K64" t="str">
        <v>L</v>
      </c>
      <c r="L64" t="str">
        <v>M</v>
      </c>
      <c r="M64" t="str">
        <v>H</v>
      </c>
    </row>
    <row r="65">
      <c r="A65" t="str">
        <v>Matthew 6:29</v>
      </c>
      <c r="B65" t="str">
        <v>Floral bed</v>
      </c>
      <c r="C65">
        <v>45066</v>
      </c>
      <c r="D65" t="str">
        <v>https://www.dropbox.com/scl/fi/4xjdtk1dtz3o2rec0osa5/IMG_1914.JPG?rlkey=g5m6xuzpsbogwg8da1lyx0bt1&amp;dl=0</v>
      </c>
      <c r="E65" t="str">
        <v>N/A</v>
      </c>
      <c r="F65" t="str">
        <v>N/A</v>
      </c>
      <c r="G65" t="str">
        <v>N/A</v>
      </c>
      <c r="H65" t="str">
        <v>Y</v>
      </c>
      <c r="I65" t="str">
        <v>S1</v>
      </c>
      <c r="J65" t="str">
        <f>IF(AND(OR(K65="L", K65="M"), OR(L65="H", L65="M"), OR(M65="H", M65="M")),"Y","N")</f>
        <v>Y</v>
      </c>
      <c r="K65" t="str">
        <v>L</v>
      </c>
      <c r="L65" t="str">
        <v>M</v>
      </c>
      <c r="M65" t="str">
        <v>H</v>
      </c>
    </row>
    <row r="66">
      <c r="A66" t="str">
        <v>Psalms 139:9-10</v>
      </c>
      <c r="B66" t="str">
        <v xml:space="preserve">Lake view </v>
      </c>
      <c r="C66">
        <v>45136</v>
      </c>
      <c r="D66" t="str">
        <v>https://www.dropbox.com/scl/fi/1w0e9ysdlkszd1k2g1c12/IMG_1919.JPG?rlkey=h42q788d5iikf5wt52emyx0kd&amp;dl=0</v>
      </c>
      <c r="E66" t="str">
        <v>N/A</v>
      </c>
      <c r="F66" t="str">
        <v>N/A</v>
      </c>
      <c r="G66" t="str">
        <v>N/A</v>
      </c>
      <c r="H66" t="str">
        <v>Y</v>
      </c>
      <c r="I66" t="str">
        <v>S1</v>
      </c>
      <c r="J66" t="str">
        <f>IF(AND(OR(K66="L", K66="M"), OR(L66="H", L66="M"), OR(M66="H", M66="M")),"Y","N")</f>
        <v>Y</v>
      </c>
      <c r="K66" t="str">
        <v>L</v>
      </c>
      <c r="L66" t="str">
        <v>M</v>
      </c>
      <c r="M66" t="str">
        <v>H</v>
      </c>
    </row>
    <row r="67">
      <c r="A67" t="str">
        <v>Job 12:22</v>
      </c>
      <c r="B67" t="str">
        <v>Lotus in the dark</v>
      </c>
      <c r="C67">
        <v>45150</v>
      </c>
      <c r="D67" t="str">
        <v>https://www.dropbox.com/scl/fi/pkt2guvvq63pmcga0p4ge/IMG_1921.JPG?rlkey=sxhpq8sswy6eivgzwqx7mulkk&amp;dl=0</v>
      </c>
      <c r="E67" t="str">
        <v>N/A</v>
      </c>
      <c r="F67" t="str">
        <v>N/A</v>
      </c>
      <c r="G67" t="str">
        <v>N/A</v>
      </c>
      <c r="H67" t="str">
        <v>Y</v>
      </c>
      <c r="I67" t="str">
        <v>S1</v>
      </c>
      <c r="J67" t="str">
        <f>IF(AND(OR(K67="L", K67="M"), OR(L67="H", L67="M"), OR(M67="H", M67="M")),"Y","N")</f>
        <v>Y</v>
      </c>
      <c r="K67" t="str">
        <v>L</v>
      </c>
      <c r="L67" t="str">
        <v>H</v>
      </c>
      <c r="M67" t="str">
        <v>M</v>
      </c>
    </row>
    <row r="68">
      <c r="A68" t="str">
        <v>Proverbs 14:23</v>
      </c>
      <c r="B68" t="str">
        <v>Wistera</v>
      </c>
      <c r="C68">
        <v>45172</v>
      </c>
      <c r="D68" t="str">
        <v>https://www.dropbox.com/scl/fi/x24igmid7cf38ffa3d68v/IMG_1925.JPG?rlkey=hevt5oqlbx9hapkm8otkcmmr5&amp;dl=0</v>
      </c>
      <c r="E68" t="str">
        <v>N/A</v>
      </c>
      <c r="F68" t="str">
        <v>N/A</v>
      </c>
      <c r="G68" t="str">
        <v>N/A</v>
      </c>
      <c r="H68" t="str">
        <v>Y</v>
      </c>
      <c r="I68" t="str">
        <v>S1</v>
      </c>
      <c r="J68" t="str">
        <f>IF(AND(OR(K68="L", K68="M"), OR(L68="H", L68="M"), OR(M68="H", M68="M")),"Y","N")</f>
        <v>Y</v>
      </c>
      <c r="K68" t="str">
        <v>L</v>
      </c>
      <c r="L68" t="str">
        <v>M</v>
      </c>
      <c r="M68" t="str">
        <v>H</v>
      </c>
    </row>
    <row r="69">
      <c r="A69" t="str">
        <v>Psalms 6:9</v>
      </c>
      <c r="B69" t="str">
        <v>Peony</v>
      </c>
      <c r="C69">
        <v>45176</v>
      </c>
      <c r="D69" t="str">
        <v>https://www.dropbox.com/scl/fi/1p9bo5dibahiucvn3k7wm/IMG_1928.JPG?rlkey=0iq86yfeholn23tx00qmeok8i&amp;dl=0</v>
      </c>
      <c r="E69" t="str">
        <v>N/A</v>
      </c>
      <c r="F69" t="str">
        <v>N/A</v>
      </c>
      <c r="G69" t="str">
        <v>N/A</v>
      </c>
      <c r="H69" t="str">
        <v>Y</v>
      </c>
      <c r="I69" t="str">
        <v>S1</v>
      </c>
      <c r="J69" t="str">
        <f>IF(AND(OR(K69="L", K69="M"), OR(L69="H", L69="M"), OR(M69="H", M69="M")),"Y","N")</f>
        <v>Y</v>
      </c>
      <c r="K69" t="str">
        <v>L</v>
      </c>
      <c r="L69" t="str">
        <v>M</v>
      </c>
      <c r="M69" t="str">
        <v>H</v>
      </c>
    </row>
    <row r="70">
      <c r="A70" t="str">
        <v>Ephesians 5:16</v>
      </c>
      <c r="B70" t="str">
        <v>Epiphyllum (white)</v>
      </c>
      <c r="C70">
        <v>45178</v>
      </c>
      <c r="D70" t="str">
        <v>https://www.dropbox.com/scl/fi/zlmnyb70gp9u2vogtdy7s/IMG_1929.JPG?rlkey=ui5ff5zkgkldt84kqtehf85k5&amp;dl=0</v>
      </c>
      <c r="E70" t="str">
        <v>N/A</v>
      </c>
      <c r="F70" t="str">
        <v>昙花一现，人在地上的一生时间太短。经上记着：“要爱惜光阴，因为现今的世代邪恶。” 要赎回光阴，得耶稣基督永远的生命。愿神祝福信入他名的子民。</v>
      </c>
      <c r="G70" t="str">
        <v>N/A</v>
      </c>
      <c r="H70" t="str">
        <v>Y</v>
      </c>
      <c r="I70" t="str">
        <v>S1</v>
      </c>
      <c r="J70" t="str">
        <f>IF(AND(OR(K70="L", K70="M"), OR(L70="H", L70="M"), OR(M70="H", M70="M")),"Y","N")</f>
        <v>Y</v>
      </c>
      <c r="K70" t="str">
        <v>L</v>
      </c>
      <c r="L70" t="str">
        <v>M</v>
      </c>
      <c r="M70" t="str">
        <v>H</v>
      </c>
    </row>
    <row r="71">
      <c r="A71" t="str">
        <v>Psalms 42:8</v>
      </c>
      <c r="B71" t="str">
        <v>Bamboo in the dark</v>
      </c>
      <c r="C71">
        <v>45184</v>
      </c>
      <c r="D71" t="str">
        <v>https://www.dropbox.com/scl/fi/pnxiuh046rr5cdjg9ve0e/IMG_1933.JPG?rlkey=nkwq36p9ivuai1da4xn97nlro&amp;dl=0</v>
      </c>
      <c r="E71" t="str">
        <v>N/A</v>
      </c>
      <c r="F71" t="str">
        <v>N/A</v>
      </c>
      <c r="G71" t="str">
        <v>N/A</v>
      </c>
      <c r="H71" t="str">
        <v>Y</v>
      </c>
      <c r="I71" t="str">
        <v>S1</v>
      </c>
      <c r="J71" t="str">
        <f>IF(AND(OR(K71="L", K71="M"), OR(L71="H", L71="M"), OR(M71="H", M71="M")),"Y","N")</f>
        <v>Y</v>
      </c>
      <c r="K71" t="str">
        <v>L</v>
      </c>
      <c r="L71" t="str">
        <v>M</v>
      </c>
      <c r="M71" t="str">
        <v>H</v>
      </c>
    </row>
    <row r="72">
      <c r="A72" t="str">
        <v>Psalms 72:7</v>
      </c>
      <c r="B72" t="str">
        <v>Bamboo in full moon</v>
      </c>
      <c r="C72">
        <v>45185</v>
      </c>
      <c r="D72" t="str">
        <v>https://www.dropbox.com/scl/fi/9oh24w4pujjo5qbavbhl5/IMG_1934.JPG?rlkey=jhm8e2m2krkwd9ua6j9nw7ojq&amp;dl=0</v>
      </c>
      <c r="E72" t="str">
        <v>N/A</v>
      </c>
      <c r="F72" t="str">
        <v>N/A</v>
      </c>
      <c r="G72" t="str">
        <v>N/A</v>
      </c>
      <c r="H72" t="str">
        <v>Y</v>
      </c>
      <c r="I72" t="str">
        <v>S1</v>
      </c>
      <c r="J72" t="str">
        <f>IF(AND(OR(K72="L", K72="M"), OR(L72="H", L72="M"), OR(M72="H", M72="M")),"Y","N")</f>
        <v>Y</v>
      </c>
      <c r="K72" t="str">
        <v>L</v>
      </c>
      <c r="L72" t="str">
        <v>M</v>
      </c>
      <c r="M72" t="str">
        <v>H</v>
      </c>
    </row>
    <row r="73">
      <c r="A73" t="str">
        <v>Song of Solomon 8:14</v>
      </c>
      <c r="B73" t="str">
        <v>A deer on a hill along the lake</v>
      </c>
      <c r="C73">
        <v>45186</v>
      </c>
      <c r="D73" t="str">
        <v>https://www.dropbox.com/scl/fi/ff2rwgjvwim7q6u79qgnq/IMG_1935.JPG?rlkey=twoat413ojgkl7p06xmmd5wte&amp;dl=0</v>
      </c>
      <c r="E73" t="str">
        <v>N/A</v>
      </c>
      <c r="F73" t="str">
        <v>N/A</v>
      </c>
      <c r="G73" t="str">
        <v>N/A</v>
      </c>
      <c r="H73" t="str">
        <v>Y</v>
      </c>
      <c r="I73" t="str">
        <v>S1</v>
      </c>
      <c r="J73" t="str">
        <f>IF(AND(OR(K73="L", K73="M"), OR(L73="H", L73="M"), OR(M73="H", M73="M")),"Y","N")</f>
        <v>Y</v>
      </c>
      <c r="K73" t="str">
        <v>L</v>
      </c>
      <c r="L73" t="str">
        <v>M</v>
      </c>
      <c r="M73" t="str">
        <v>M</v>
      </c>
    </row>
    <row r="74">
      <c r="A74" t="str">
        <v>Song of Solomon 7:11</v>
      </c>
      <c r="B74" t="str">
        <v xml:space="preserve">Autumn in a villiage </v>
      </c>
      <c r="C74">
        <v>45191</v>
      </c>
      <c r="D74" t="str">
        <v>https://www.dropbox.com/scl/fi/star2bg0pcqirh9ixb6pw/IMG_1938.JPG?rlkey=m631cyvd03vgcysklnjm8fo0j&amp;dl=0</v>
      </c>
      <c r="E74" t="str">
        <v>N/A</v>
      </c>
      <c r="F74" t="str">
        <v>N/A</v>
      </c>
      <c r="G74" t="str">
        <v>N/A</v>
      </c>
      <c r="H74" t="str">
        <v>Y</v>
      </c>
      <c r="I74" t="str">
        <v>S1</v>
      </c>
      <c r="J74" t="str">
        <f>IF(AND(OR(K74="L", K74="M"), OR(L74="H", L74="M"), OR(M74="H", M74="M")),"Y","N")</f>
        <v>Y</v>
      </c>
      <c r="K74" t="str">
        <v>L</v>
      </c>
      <c r="L74" t="str">
        <v>H</v>
      </c>
      <c r="M74" t="str">
        <v>M</v>
      </c>
    </row>
    <row r="75">
      <c r="A75" t="str">
        <v>Psalms 25:1</v>
      </c>
      <c r="B75" t="str">
        <v>Skyview through the birch forest</v>
      </c>
      <c r="C75">
        <v>45193</v>
      </c>
      <c r="D75" t="str">
        <v>https://www.dropbox.com/scl/fi/0yql6zmt20vqckm72pbj4/IMG_1939.JPG?rlkey=j4b4r84wl7ayho4c2xtnjkkyt&amp;dl=0</v>
      </c>
      <c r="E75" t="str">
        <v>N/A</v>
      </c>
      <c r="F75" t="str">
        <v>N/A</v>
      </c>
      <c r="G75" t="str">
        <v>N/A</v>
      </c>
      <c r="H75" t="str">
        <v>Y</v>
      </c>
      <c r="I75" t="str">
        <v>S1</v>
      </c>
      <c r="J75" t="str">
        <f>IF(AND(OR(K75="L", K75="M"), OR(L75="H", L75="M"), OR(M75="H", M75="M")),"Y","N")</f>
        <v>Y</v>
      </c>
      <c r="K75" t="str">
        <v>L</v>
      </c>
      <c r="L75" t="str">
        <v>M</v>
      </c>
      <c r="M75" t="str">
        <v>H</v>
      </c>
    </row>
    <row r="76">
      <c r="A76" t="str">
        <v>Psalms 23:1-2</v>
      </c>
      <c r="B76" t="str">
        <v>Green pastures and still waters</v>
      </c>
      <c r="C76">
        <v>45208</v>
      </c>
      <c r="D76" t="str">
        <v>https://www.dropbox.com/scl/fi/sk3g9tq0ybgiio7pmcvsc/IMG_1940.JPG?rlkey=ec03sh86o72zzub9qkk7f102v&amp;dl=0</v>
      </c>
      <c r="E76" t="str">
        <v>N/A</v>
      </c>
      <c r="F76" t="str">
        <v>N/A</v>
      </c>
      <c r="G76" t="str">
        <v>N/A</v>
      </c>
      <c r="H76" t="str">
        <v>Y</v>
      </c>
      <c r="I76" t="str">
        <v>S1</v>
      </c>
      <c r="J76" t="str">
        <f>IF(AND(OR(K76="L", K76="M"), OR(L76="H", L76="M"), OR(M76="H", M76="M")),"Y","N")</f>
        <v>Y</v>
      </c>
      <c r="K76" t="str">
        <v>L</v>
      </c>
      <c r="L76" t="str">
        <v>H</v>
      </c>
      <c r="M76" t="str">
        <v>H</v>
      </c>
    </row>
    <row r="77">
      <c r="A77" t="str">
        <v>Psalms 65:11-12a</v>
      </c>
      <c r="B77" t="str">
        <v>Rich floral impression</v>
      </c>
      <c r="C77">
        <v>45248</v>
      </c>
      <c r="D77" t="str">
        <v>https://www.dropbox.com/scl/fi/3j9ym9a57v1weegrev0c0/IMG_1944.JPG?rlkey=8zqrx6exjcl64a9aply38iqml&amp;dl=0</v>
      </c>
      <c r="E77" t="str">
        <v>N/A</v>
      </c>
      <c r="F77" t="str">
        <v>N/A</v>
      </c>
      <c r="G77" t="str">
        <v>N/A</v>
      </c>
      <c r="H77" t="str">
        <v>Y</v>
      </c>
      <c r="I77" t="str">
        <v>S1</v>
      </c>
      <c r="J77" t="str">
        <f>IF(AND(OR(K77="L", K77="M"), OR(L77="H", L77="M"), OR(M77="H", M77="M")),"Y","N")</f>
        <v>Y</v>
      </c>
      <c r="K77" t="str">
        <v>L</v>
      </c>
      <c r="L77" t="str">
        <v>H</v>
      </c>
      <c r="M77" t="str">
        <v>H</v>
      </c>
    </row>
    <row r="78">
      <c r="A78" t="str">
        <v>Psalms 30:12</v>
      </c>
      <c r="B78" t="str">
        <v>Rich floral impression</v>
      </c>
      <c r="C78">
        <v>45253</v>
      </c>
      <c r="D78" t="str">
        <v>https://www.dropbox.com/scl/fi/v6gy5mh5digjybg9ekiay/IMG_1945.JPG?rlkey=a0dum6auevda3gd61nqlw14iu&amp;dl=0</v>
      </c>
      <c r="E78" t="str">
        <v>N/A</v>
      </c>
      <c r="F78" t="str">
        <v>N/A</v>
      </c>
      <c r="G78" t="str">
        <v>N/A</v>
      </c>
      <c r="H78" t="str">
        <v>Y</v>
      </c>
      <c r="I78" t="str">
        <v>S1</v>
      </c>
      <c r="J78" t="str">
        <f>IF(AND(OR(K78="L", K78="M"), OR(L78="H", L78="M"), OR(M78="H", M78="M")),"Y","N")</f>
        <v>Y</v>
      </c>
      <c r="K78" t="str">
        <v>L</v>
      </c>
      <c r="L78" t="str">
        <v>M</v>
      </c>
      <c r="M78" t="str">
        <v>H</v>
      </c>
    </row>
    <row r="79">
      <c r="A79" t="str">
        <v>John 8:12</v>
      </c>
      <c r="B79" t="str">
        <v>Pine tree in sunrise</v>
      </c>
      <c r="C79">
        <v>45277</v>
      </c>
      <c r="D79" t="str">
        <v>https://www.dropbox.com/scl/fi/kpfw4ipinibunavygitl8/IMG_1951.JPG?rlkey=uk6lzsire4zs8fzzo6jrdt6h3&amp;dl=0</v>
      </c>
      <c r="E79" t="str">
        <v>N/A</v>
      </c>
      <c r="F79" t="str">
        <v>N/A</v>
      </c>
      <c r="G79" t="str">
        <v>N/A</v>
      </c>
      <c r="H79" t="str">
        <v>Y</v>
      </c>
      <c r="I79" t="str">
        <v>S1</v>
      </c>
      <c r="J79" t="str">
        <f>IF(AND(OR(K79="L", K79="M"), OR(L79="H", L79="M"), OR(M79="H", M79="M")),"Y","N")</f>
        <v>Y</v>
      </c>
      <c r="K79" t="str">
        <v>L</v>
      </c>
      <c r="L79" t="str">
        <v>M</v>
      </c>
      <c r="M79" t="str">
        <v>H</v>
      </c>
    </row>
    <row r="80">
      <c r="A80" t="str">
        <v>Psalms 65:11</v>
      </c>
      <c r="B80" t="str">
        <v>Flowers (green)</v>
      </c>
      <c r="C80">
        <v>45328</v>
      </c>
      <c r="D80" t="str">
        <v>https://www.dropbox.com/scl/fi/wefq3s3elevlkxbn2gse5/IMG_1962.JPG?rlkey=rhcwq2el8fa2asfbfu4c3hrwm&amp;dl=0</v>
      </c>
      <c r="E80" t="str">
        <v>N/A</v>
      </c>
      <c r="F80" t="str">
        <v>N/A</v>
      </c>
      <c r="G80" t="str">
        <v>N/A</v>
      </c>
      <c r="H80" t="str">
        <v>Y</v>
      </c>
      <c r="I80" t="str">
        <v>S1</v>
      </c>
      <c r="J80" t="str">
        <f>IF(AND(OR(K80="L", K80="M"), OR(L80="H", L80="M"), OR(M80="H", M80="M")),"Y","N")</f>
        <v>Y</v>
      </c>
      <c r="K80" t="str">
        <v>L</v>
      </c>
      <c r="L80" t="str">
        <v>H</v>
      </c>
      <c r="M80" t="str">
        <v>H</v>
      </c>
    </row>
    <row r="81">
      <c r="A81" t="str">
        <v>Philippians 4:20</v>
      </c>
      <c r="B81" t="str">
        <v>Flowers (red)</v>
      </c>
      <c r="C81">
        <v>45330</v>
      </c>
      <c r="D81" t="str">
        <v>https://www.dropbox.com/scl/fi/2o80uti35f0mets96r6zl/IMG_1964.JPG?rlkey=39y6t3db7y2d2zktzgutznq90&amp;dl=0</v>
      </c>
      <c r="E81" t="str">
        <v>N/A</v>
      </c>
      <c r="F81" t="str">
        <v>N/A</v>
      </c>
      <c r="G81" t="str">
        <v>N/A</v>
      </c>
      <c r="H81" t="str">
        <v>Y</v>
      </c>
      <c r="I81" t="str">
        <v>S1</v>
      </c>
      <c r="J81" t="str">
        <f>IF(AND(OR(K81="L", K81="M"), OR(L81="H", L81="M"), OR(M81="H", M81="M")),"Y","N")</f>
        <v>Y</v>
      </c>
      <c r="K81" t="str">
        <v>L</v>
      </c>
      <c r="L81" t="str">
        <v>M</v>
      </c>
      <c r="M81" t="str">
        <v>H</v>
      </c>
    </row>
    <row r="82">
      <c r="A82" t="str">
        <v>Philippians 4:5</v>
      </c>
      <c r="B82" t="str">
        <v>Flowers (pink)</v>
      </c>
      <c r="C82">
        <v>45333</v>
      </c>
      <c r="D82" t="str">
        <v>https://www.dropbox.com/scl/fi/bgu856lghouiy0m6fc7vl/IMG_1967.JPG?rlkey=9a8qy2940aqt0tdlzan0oye9r&amp;dl=0</v>
      </c>
      <c r="E82" t="str">
        <v>N/A</v>
      </c>
      <c r="F82" t="str">
        <v>N/A</v>
      </c>
      <c r="G82" t="str">
        <v>N/A</v>
      </c>
      <c r="H82" t="str">
        <v>Y</v>
      </c>
      <c r="I82" t="str">
        <v>S1</v>
      </c>
      <c r="J82" t="str">
        <f>IF(AND(OR(K82="L", K82="M"), OR(L82="H", L82="M"), OR(M82="H", M82="M")),"Y","N")</f>
        <v>Y</v>
      </c>
      <c r="K82" t="str">
        <v>L</v>
      </c>
      <c r="L82" t="str">
        <v>M</v>
      </c>
      <c r="M82" t="str">
        <v>M</v>
      </c>
    </row>
    <row r="83">
      <c r="A83" t="str">
        <v>Philippians 4:6</v>
      </c>
      <c r="B83" t="str">
        <v>Thick bamboo w/o branches</v>
      </c>
      <c r="C83">
        <v>45334</v>
      </c>
      <c r="D83" t="str">
        <v>https://www.dropbox.com/scl/fi/zmw6hgmk8vf52cpd6guos/IMG_1968.JPG?rlkey=5axfbjge9wr288vcud7maj6f6&amp;dl=0</v>
      </c>
      <c r="E83" t="str">
        <v>N/A</v>
      </c>
      <c r="F83" t="str">
        <v>N/A</v>
      </c>
      <c r="G83" t="str">
        <v>N/A</v>
      </c>
      <c r="H83" t="str">
        <v>Y</v>
      </c>
      <c r="I83" t="str">
        <v>S1</v>
      </c>
      <c r="J83" t="str">
        <f>IF(AND(OR(K83="L", K83="M"), OR(L83="H", L83="M"), OR(M83="H", M83="M")),"Y","N")</f>
        <v>Y</v>
      </c>
      <c r="K83" t="str">
        <v>L</v>
      </c>
      <c r="L83" t="str">
        <v>M</v>
      </c>
      <c r="M83" t="str">
        <v>H</v>
      </c>
    </row>
    <row r="84">
      <c r="A84" t="str">
        <v>Psalms 66:1</v>
      </c>
      <c r="B84" t="str">
        <v>Flowers (rose color)</v>
      </c>
      <c r="C84">
        <v>45338</v>
      </c>
      <c r="D84" t="str">
        <v>https://www.dropbox.com/scl/fi/bzcltknm4sytfh27661ur/IMG_1969.JPG?rlkey=76i9wqhcdyp4r1g311hhpgm6b&amp;dl=0</v>
      </c>
      <c r="E84" t="str">
        <v>N/A</v>
      </c>
      <c r="F84" t="str">
        <v>N/A</v>
      </c>
      <c r="G84" t="str">
        <v>https://www.dropbox.com/scl/fi/s48kfkmfsxsdskyf6n9cu/2385.MP4?rlkey=44wc20vuz4o810j5hpwx8srq5&amp;dl=0</v>
      </c>
      <c r="H84" t="str">
        <v>Y</v>
      </c>
      <c r="I84" t="str">
        <v>S1</v>
      </c>
      <c r="J84" t="str">
        <f>IF(AND(OR(K84="L", K84="M"), OR(L84="H", L84="M"), OR(M84="H", M84="M")),"Y","N")</f>
        <v>Y</v>
      </c>
      <c r="K84" t="str">
        <v>L</v>
      </c>
      <c r="L84" t="str">
        <v>M</v>
      </c>
      <c r="M84" t="str">
        <v>H</v>
      </c>
    </row>
    <row r="85">
      <c r="A85" t="str">
        <v>Numbers 6:26</v>
      </c>
      <c r="B85" t="str">
        <v>Peony flowers</v>
      </c>
      <c r="C85">
        <v>45370</v>
      </c>
      <c r="D85" t="str">
        <v>https://www.dropbox.com/scl/fi/4l9j9629nwyyp7p0c7ve1/IMG_1979.JPG?rlkey=q5mmoy4qdgcawdhwh76fop297&amp;dl=0</v>
      </c>
      <c r="E85" t="str">
        <v>N/A</v>
      </c>
      <c r="F85" t="str">
        <v>N/A</v>
      </c>
      <c r="G85" t="str">
        <v>N/A</v>
      </c>
      <c r="H85" t="str">
        <v>Y</v>
      </c>
      <c r="I85" t="str">
        <v>S1</v>
      </c>
      <c r="J85" t="str">
        <f>IF(AND(OR(K85="L", K85="M"), OR(L85="H", L85="M"), OR(M85="H", M85="M")),"Y","N")</f>
        <v>Y</v>
      </c>
      <c r="K85" t="str">
        <v>L</v>
      </c>
      <c r="L85" t="str">
        <v>M</v>
      </c>
      <c r="M85" t="str">
        <v>M</v>
      </c>
    </row>
    <row r="86">
      <c r="A86" t="str">
        <v>John 11:25</v>
      </c>
      <c r="B86" t="str">
        <v>Flowers</v>
      </c>
      <c r="C86">
        <v>45381</v>
      </c>
      <c r="D86" t="str">
        <v>https://www.dropbox.com/scl/fi/14bk45qextsrszvcfe7sq/IMG_1980.JPG?rlkey=34z8s5d22h00o32x9ccp03dj5&amp;dl=0</v>
      </c>
      <c r="E86" t="str">
        <v>N/A</v>
      </c>
      <c r="F86" t="str">
        <v>N/A</v>
      </c>
      <c r="G86" t="str">
        <v>孙弟兄，一路平安回国满有祂的同在，飞机上传福音一位信主，在山东为王红儿子受浸，感谢主。王红收到面谈通知，五月七号去广州美使馆，请代祷！復活的基督在灵里与我们同在！</v>
      </c>
      <c r="H86" t="str">
        <v>Y</v>
      </c>
      <c r="I86" t="str">
        <v>S1</v>
      </c>
      <c r="J86" t="str">
        <f>IF(AND(OR(K86="L", K86="M"), OR(L86="H", L86="M"), OR(M86="H", M86="M")),"Y","N")</f>
        <v>Y</v>
      </c>
      <c r="K86" t="str">
        <v>M</v>
      </c>
      <c r="L86" t="str">
        <v>M</v>
      </c>
      <c r="M86" t="str">
        <v>H</v>
      </c>
    </row>
    <row r="87">
      <c r="A87" t="str">
        <v>Proverbs 14:34</v>
      </c>
      <c r="B87" t="str">
        <v>Eagle soaring in the sky</v>
      </c>
      <c r="C87">
        <v>45488</v>
      </c>
      <c r="D87" t="str">
        <v>https://www.dropbox.com/scl/fi/q6h1zjhhdeopcui9rpwt1/IMG_1987.JPG?rlkey=wnb4n7zikmji8jyweqay5ytjc&amp;dl=0</v>
      </c>
      <c r="E87" t="str">
        <v>N/A</v>
      </c>
      <c r="F87" t="str">
        <v>N/A</v>
      </c>
      <c r="G87" t="str">
        <v>N/A</v>
      </c>
      <c r="H87" t="str">
        <v>Y</v>
      </c>
      <c r="I87" t="str">
        <v>S1</v>
      </c>
      <c r="J87" t="str">
        <f>IF(AND(OR(K87="L", K87="M"), OR(L87="H", L87="M"), OR(M87="H", M87="M")),"Y","N")</f>
        <v>Y</v>
      </c>
      <c r="K87" t="str">
        <v>L</v>
      </c>
      <c r="L87" t="str">
        <v>H</v>
      </c>
      <c r="M87" t="str">
        <v>M</v>
      </c>
    </row>
    <row r="88">
      <c r="A88" t="str">
        <v>Isaiah 54:17</v>
      </c>
      <c r="B88" t="str">
        <v>Eagle soaring in the sky</v>
      </c>
      <c r="C88">
        <v>45493</v>
      </c>
      <c r="D88" t="str">
        <v>https://www.dropbox.com/scl/fi/apa9yhckyarqtph1ftbsn/IMG_1993.JPG?rlkey=58i4hk4av7q5mvfj46s0zxvxu&amp;dl=0</v>
      </c>
      <c r="E88" t="str">
        <v>N/A</v>
      </c>
      <c r="F88" t="str">
        <v>N/A</v>
      </c>
      <c r="G88" t="str">
        <v>N/A</v>
      </c>
      <c r="H88" t="str">
        <v>Y</v>
      </c>
      <c r="I88" t="str">
        <v>S1</v>
      </c>
      <c r="J88" t="str">
        <f>IF(AND(OR(K88="L", K88="M"), OR(L88="H", L88="M"), OR(M88="H", M88="M")),"Y","N")</f>
        <v>Y</v>
      </c>
      <c r="K88" t="str">
        <v>L</v>
      </c>
      <c r="L88" t="str">
        <v>H</v>
      </c>
      <c r="M88" t="str">
        <v>H</v>
      </c>
    </row>
    <row r="89">
      <c r="A89" t="str">
        <v>Proverbs 21:21</v>
      </c>
      <c r="B89" t="str">
        <v>prayer</v>
      </c>
      <c r="C89">
        <v>45493</v>
      </c>
      <c r="D89" t="str">
        <v>https://www.dropbox.com/scl/fi/3kd64uxypqoefjztyrvxu/IMG_1992.JPG?rlkey=z6g4mviaiawiprmpleaa6mlhu&amp;dl=0</v>
      </c>
      <c r="E89" t="str">
        <v>N/A</v>
      </c>
      <c r="F89" t="str">
        <v>N/A</v>
      </c>
      <c r="G89" t="str">
        <v>N/A</v>
      </c>
      <c r="H89" t="str">
        <v>Y</v>
      </c>
      <c r="I89" t="str">
        <v>S1</v>
      </c>
      <c r="J89" t="str">
        <f>IF(AND(OR(K89="L", K89="M"), OR(L89="H", L89="M"), OR(M89="H", M89="M")),"Y","N")</f>
        <v>Y</v>
      </c>
      <c r="K89" t="str">
        <v>L</v>
      </c>
      <c r="L89" t="str">
        <v>M</v>
      </c>
      <c r="M89" t="str">
        <v>H</v>
      </c>
    </row>
    <row r="90">
      <c r="A90" t="str">
        <v>Psalms 19:9</v>
      </c>
      <c r="B90" t="str">
        <v>Lotus</v>
      </c>
      <c r="C90">
        <v>45493</v>
      </c>
      <c r="D90" t="str">
        <v>https://www.dropbox.com/scl/fi/0xikwbumusjlarwyesqm9/IMG_1989.JPG?rlkey=dpxtixu9b8p6ffiljfc8ossgk&amp;dl=0</v>
      </c>
      <c r="E90" t="str">
        <v>N/A</v>
      </c>
      <c r="F90" t="str">
        <v>N/A</v>
      </c>
      <c r="G90" t="str">
        <v>N/A</v>
      </c>
      <c r="H90" t="str">
        <v>Y</v>
      </c>
      <c r="I90" t="str">
        <v>S1</v>
      </c>
      <c r="J90" t="str">
        <f>IF(AND(OR(K90="L", K90="M"), OR(L90="H", L90="M"), OR(M90="H", M90="M")),"Y","N")</f>
        <v>Y</v>
      </c>
      <c r="K90" t="str">
        <v>L</v>
      </c>
      <c r="L90" t="str">
        <v>M</v>
      </c>
      <c r="M90" t="str">
        <v>H</v>
      </c>
    </row>
    <row r="91">
      <c r="A91" t="str">
        <v>Song of Solomon 2:17</v>
      </c>
      <c r="B91" t="str">
        <v>Deer in the bamboo under the moon</v>
      </c>
      <c r="C91">
        <v>45503</v>
      </c>
      <c r="D91" t="str">
        <v>https://www.dropbox.com/scl/fi/hdf797aaijmgjpbw4h8q0/IMG_1998.JPG?rlkey=gai8z6e23rtlj5gkxtc6f6yjr&amp;dl=0</v>
      </c>
      <c r="E91" t="str">
        <v>N/A</v>
      </c>
      <c r="F91" t="str">
        <v>N/A</v>
      </c>
      <c r="G91" t="str">
        <v>N/A</v>
      </c>
      <c r="H91" t="str">
        <v>Y</v>
      </c>
      <c r="I91" t="str">
        <v>S1</v>
      </c>
      <c r="J91" t="str">
        <f>IF(AND(OR(K91="L", K91="M"), OR(L91="H", L91="M"), OR(M91="H", M91="M")),"Y","N")</f>
        <v>Y</v>
      </c>
      <c r="K91" t="str">
        <v>L</v>
      </c>
      <c r="L91" t="str">
        <v>H</v>
      </c>
      <c r="M91" t="str">
        <v>M</v>
      </c>
    </row>
    <row r="92">
      <c r="A92" t="str">
        <v>Song of Solomon 2:2</v>
      </c>
      <c r="B92" t="str">
        <v>Peacock</v>
      </c>
      <c r="C92">
        <v>45535</v>
      </c>
      <c r="D92" t="str">
        <v>https://www.dropbox.com/scl/fi/tqplknq8ib87cbvbs2z0w/IMG_2007.JPG?rlkey=b9wsymmalzq20ulph68gfxxux&amp;dl=0</v>
      </c>
      <c r="E92" t="str">
        <v>N/A</v>
      </c>
      <c r="F92" t="str">
        <v>N/A</v>
      </c>
      <c r="G92" t="str">
        <v>N/A</v>
      </c>
      <c r="H92" t="str">
        <v>Y</v>
      </c>
      <c r="I92" t="str">
        <v>S1</v>
      </c>
      <c r="J92" t="str">
        <f>IF(AND(OR(K92="L", K92="M"), OR(L92="H", L92="M"), OR(M92="H", M92="M")),"Y","N")</f>
        <v>Y</v>
      </c>
      <c r="K92" t="str">
        <v>L</v>
      </c>
      <c r="L92" t="str">
        <v>M</v>
      </c>
      <c r="M92" t="str">
        <v>M</v>
      </c>
    </row>
    <row r="93">
      <c r="A93" t="str">
        <v>Proverbs 10:29</v>
      </c>
      <c r="B93" t="str">
        <v>Birch in autumn (left)</v>
      </c>
      <c r="C93">
        <v>45612</v>
      </c>
      <c r="D93" t="str">
        <v>https://www.dropbox.com/scl/fi/dqofpydhrthadtul08vml/IMG_2009.JPG?rlkey=ntw3snabgsa1kzn8b1it085hz&amp;dl=0</v>
      </c>
      <c r="E93" t="str">
        <v>N/A</v>
      </c>
      <c r="F93" t="str">
        <v>N/A</v>
      </c>
      <c r="G93" t="str">
        <v>N/A</v>
      </c>
      <c r="H93" t="str">
        <v>Y</v>
      </c>
      <c r="I93" t="str">
        <v>S1</v>
      </c>
      <c r="J93" t="str">
        <f>IF(AND(OR(K93="L", K93="M"), OR(L93="H", L93="M"), OR(M93="H", M93="M")),"Y","N")</f>
        <v>Y</v>
      </c>
      <c r="K93" t="str">
        <v>L</v>
      </c>
      <c r="L93" t="str">
        <v>H</v>
      </c>
      <c r="M93" t="str">
        <v>H</v>
      </c>
    </row>
    <row r="94">
      <c r="A94" t="str">
        <v>Ephesians 5:26</v>
      </c>
      <c r="B94" t="str">
        <v>Snow lotus in the mountain</v>
      </c>
      <c r="C94">
        <v>45621</v>
      </c>
      <c r="D94" t="str">
        <v>https://www.dropbox.com/scl/fi/d935wvptcxyllzb84flh5/IMG_8365.JPG?rlkey=tzzr5izzp05trv2kfwnus0qxp&amp;dl=0</v>
      </c>
      <c r="E94" t="str">
        <v>N/A</v>
      </c>
      <c r="F94" t="str">
        <v>N/A</v>
      </c>
      <c r="G94" t="str">
        <v>N/A</v>
      </c>
      <c r="H94" t="str">
        <v>Y</v>
      </c>
      <c r="I94" t="str">
        <v>S1</v>
      </c>
      <c r="J94" t="str">
        <f>IF(AND(OR(K94="L", K94="M"), OR(L94="H", L94="M"), OR(M94="H", M94="M")),"Y","N")</f>
        <v>Y</v>
      </c>
      <c r="K94" t="str">
        <v>L</v>
      </c>
      <c r="L94" t="str">
        <v>H</v>
      </c>
      <c r="M94" t="str">
        <v>M</v>
      </c>
    </row>
    <row r="95">
      <c r="A95" t="str">
        <v>Psalms 84:6</v>
      </c>
      <c r="B95" t="str">
        <v>Birch trees in autumn</v>
      </c>
      <c r="C95">
        <v>45622</v>
      </c>
      <c r="D95" t="str">
        <v>https://www.dropbox.com/scl/fi/ghtqoql6xajbo53r57k21/IMG_2013.JPG?rlkey=zh3g7y0chs8lqa2oxwjdsuaix&amp;dl=0</v>
      </c>
      <c r="E95" t="str">
        <v>N/A</v>
      </c>
      <c r="F95" t="str">
        <v>N/A</v>
      </c>
      <c r="G95" t="str">
        <v>N/A</v>
      </c>
      <c r="H95" t="str">
        <v>Y</v>
      </c>
      <c r="I95" t="str">
        <v>S1</v>
      </c>
      <c r="J95" t="str">
        <f>IF(AND(OR(K95="L", K95="M"), OR(L95="H", L95="M"), OR(M95="H", M95="M")),"Y","N")</f>
        <v>Y</v>
      </c>
      <c r="K95" t="str">
        <v>L</v>
      </c>
      <c r="L95" t="str">
        <v>M</v>
      </c>
      <c r="M95" t="str">
        <v>H</v>
      </c>
    </row>
    <row r="96">
      <c r="A96" t="str">
        <v>Psalms 84:7</v>
      </c>
      <c r="B96" t="str">
        <v>Aspine trees in autumn</v>
      </c>
      <c r="C96">
        <v>45624</v>
      </c>
      <c r="D96" t="str">
        <v>https://www.dropbox.com/scl/fi/f4mpdkzl8jnxtt6hm9akt/IMG_2014.JPG?rlkey=coygvuhkddvmpcvc6dq2iwl1k&amp;dl=0</v>
      </c>
      <c r="E96" t="str">
        <v>N/A</v>
      </c>
      <c r="F96" t="str">
        <v>N/A</v>
      </c>
      <c r="G96" t="str">
        <v>N/A</v>
      </c>
      <c r="H96" t="str">
        <v>Y</v>
      </c>
      <c r="I96" t="str">
        <v>S1</v>
      </c>
      <c r="J96" t="str">
        <f>IF(AND(OR(K96="L", K96="M"), OR(L96="H", L96="M"), OR(M96="H", M96="M")),"Y","N")</f>
        <v>Y</v>
      </c>
      <c r="K96" t="str">
        <v>L</v>
      </c>
      <c r="L96" t="str">
        <v>H</v>
      </c>
      <c r="M96" t="str">
        <v>M</v>
      </c>
    </row>
    <row r="97">
      <c r="A97" t="str">
        <v>Psalms 4:7</v>
      </c>
      <c r="B97" t="str">
        <v>Birch in winter</v>
      </c>
      <c r="C97">
        <v>45641</v>
      </c>
      <c r="D97" t="str">
        <v>https://www.dropbox.com/scl/fi/9h1xsni2xbnk4eswb6ufs/IMG_2016.JPG?rlkey=m2dnp8it2lchpve8c1hj55zxw&amp;dl=0</v>
      </c>
      <c r="E97" t="str">
        <v>N/A</v>
      </c>
      <c r="F97" t="str">
        <v>N/A</v>
      </c>
      <c r="G97" t="str">
        <v>N/A</v>
      </c>
      <c r="H97" t="str">
        <v>Y</v>
      </c>
      <c r="I97" t="str">
        <v>S1</v>
      </c>
      <c r="J97" t="str">
        <f>IF(AND(OR(K97="L", K97="M"), OR(L97="H", L97="M"), OR(M97="H", M97="M")),"Y","N")</f>
        <v>Y</v>
      </c>
      <c r="K97" t="str">
        <v>L</v>
      </c>
      <c r="L97" t="str">
        <v>H</v>
      </c>
      <c r="M97" t="str">
        <v>H</v>
      </c>
    </row>
    <row r="98">
      <c r="A98" t="str">
        <v>Psalms 23:1</v>
      </c>
      <c r="B98" t="str">
        <v>Autumn leaves and flowers</v>
      </c>
      <c r="C98">
        <v>45647</v>
      </c>
      <c r="D98" t="str">
        <v>https://www.dropbox.com/scl/fi/nzmx10vmkfjaplw4mgntz/IMG_2017.JPG?rlkey=git6rv59555bnv39nouqd21pd&amp;dl=0</v>
      </c>
      <c r="E98" t="str">
        <v>N/A</v>
      </c>
      <c r="F98" t="str">
        <v>N/A</v>
      </c>
      <c r="G98" t="str">
        <v>N/A</v>
      </c>
      <c r="H98" t="str">
        <v>Y</v>
      </c>
      <c r="I98" t="str">
        <v>S1</v>
      </c>
      <c r="J98" t="str">
        <f>IF(AND(OR(K98="L", K98="M"), OR(L98="H", L98="M"), OR(M98="H", M98="M")),"Y","N")</f>
        <v>Y</v>
      </c>
      <c r="K98" t="str">
        <v>L</v>
      </c>
      <c r="L98" t="str">
        <v>H</v>
      </c>
      <c r="M98" t="str">
        <v>H</v>
      </c>
    </row>
    <row r="99">
      <c r="A99" t="str">
        <v>Psalms 42:7</v>
      </c>
      <c r="B99" t="str">
        <v>Waterfall in fall</v>
      </c>
      <c r="C99">
        <v>45655</v>
      </c>
      <c r="D99" t="str">
        <v>https://www.dropbox.com/scl/fi/jmg28j3b6x3nm9pbu7nmj/IMG_2019.JPG?rlkey=5hvmceenzsle795ngyndw880s&amp;dl=0</v>
      </c>
      <c r="E99" t="str">
        <v>N/A</v>
      </c>
      <c r="F99" t="str">
        <v>耶和华的瀑布发声，是我们的安息[Worship]</v>
      </c>
      <c r="G99" t="str">
        <v>N/A</v>
      </c>
      <c r="H99" t="str">
        <v>Y</v>
      </c>
      <c r="I99" t="str">
        <v>S1</v>
      </c>
      <c r="J99" t="str">
        <f>IF(AND(OR(K99="L", K99="M"), OR(L99="H", L99="M"), OR(M99="H", M99="M")),"Y","N")</f>
        <v>Y</v>
      </c>
      <c r="K99" t="str">
        <v>L</v>
      </c>
      <c r="L99" t="str">
        <v>H</v>
      </c>
      <c r="M99" t="str">
        <v>M</v>
      </c>
    </row>
    <row r="100">
      <c r="A100" t="str">
        <v>Isaiah 35:1</v>
      </c>
      <c r="B100" t="str">
        <v>Roses</v>
      </c>
      <c r="C100">
        <v>45662</v>
      </c>
      <c r="D100" t="str">
        <v>https://www.dropbox.com/scl/fi/wyb2ary8mrhm3qcwcsb0x/IMG_2022.JPG?rlkey=9tyg36dgzplt0q2x3swx9awjk&amp;dl=0</v>
      </c>
      <c r="E100" t="str">
        <v>N/A</v>
      </c>
      <c r="F100" t="str">
        <v>N/A</v>
      </c>
      <c r="G100" t="str">
        <v>N/A</v>
      </c>
      <c r="H100" t="str">
        <v>Y</v>
      </c>
      <c r="I100" t="str">
        <v>S1</v>
      </c>
      <c r="J100" t="str">
        <f>IF(AND(OR(K100="L", K100="M"), OR(L100="H", L100="M"), OR(M100="H", M100="M")),"Y","N")</f>
        <v>Y</v>
      </c>
      <c r="K100" t="str">
        <v>L</v>
      </c>
      <c r="L100" t="str">
        <v>M</v>
      </c>
      <c r="M100" t="str">
        <v>H</v>
      </c>
    </row>
    <row r="101">
      <c r="A101" t="str">
        <v>John 12:24</v>
      </c>
      <c r="B101" t="str">
        <v>Wheat field in sunrise</v>
      </c>
      <c r="C101">
        <v>45677</v>
      </c>
      <c r="D101" t="str">
        <v>https://www.dropbox.com/scl/fi/i5u2ys0j7lnfjlvaqo3vu/IMG_2023.JPG?rlkey=mmvjz50cum1swqhpkmiuuto94&amp;dl=0</v>
      </c>
      <c r="E101" t="str">
        <v>N/A</v>
      </c>
      <c r="F101" t="str">
        <v>N/A</v>
      </c>
      <c r="G101" t="str">
        <v>N/A</v>
      </c>
      <c r="H101" t="str">
        <v>Y</v>
      </c>
      <c r="I101" t="str">
        <v>S1</v>
      </c>
      <c r="J101" t="str">
        <f>IF(AND(OR(K101="L", K101="M"), OR(L101="H", L101="M"), OR(M101="H", M101="M")),"Y","N")</f>
        <v>Y</v>
      </c>
      <c r="K101" t="str">
        <v>L</v>
      </c>
      <c r="L101" t="str">
        <v>H</v>
      </c>
      <c r="M101" t="str">
        <v>H</v>
      </c>
    </row>
    <row r="102">
      <c r="A102" t="str">
        <v>Jeremiah 8:7</v>
      </c>
      <c r="B102" t="str">
        <v>A flock of white cranes flying in the field</v>
      </c>
      <c r="C102">
        <v>45682</v>
      </c>
      <c r="D102" t="str">
        <v>https://www.dropbox.com/scl/fi/o3tqd3kbgjpn40t1t00ue/IMG_2024.JPG?rlkey=9ezm41d53b1aa7xs24dtt57nj&amp;dl=0</v>
      </c>
      <c r="E102" t="str">
        <v>N/A</v>
      </c>
      <c r="F102" t="str">
        <v>孙弟兄，谢谢你这经节，多年来一直是鼓励，监督，帮助着我，相信在新的一年一定更加祝福我们的服事在基督里！</v>
      </c>
      <c r="G102" t="str">
        <v>N/A</v>
      </c>
      <c r="H102" t="str">
        <v>Y</v>
      </c>
      <c r="I102" t="str">
        <v>S1</v>
      </c>
      <c r="J102" t="str">
        <f>IF(AND(OR(K102="L", K102="M"), OR(L102="H", L102="M"), OR(M102="H", M102="M")),"Y","N")</f>
        <v>Y</v>
      </c>
      <c r="K102" t="str">
        <v>L</v>
      </c>
      <c r="L102" t="str">
        <v>H</v>
      </c>
      <c r="M102" t="str">
        <v>H</v>
      </c>
    </row>
    <row r="103">
      <c r="A103" t="str">
        <v>Matthew 5:6</v>
      </c>
      <c r="B103" t="str">
        <v>A couple of egrets flying over the autumn pond</v>
      </c>
      <c r="C103">
        <v>45684</v>
      </c>
      <c r="D103" t="str">
        <v>https://www.dropbox.com/scl/fi/365z08gebk3zrmn5zp2we/IMG_2025.JPG?rlkey=ykflude273x5vrkcywwz7em81&amp;dl=0</v>
      </c>
      <c r="E103" t="str">
        <v>N/A</v>
      </c>
      <c r="F103" t="str">
        <v>N/A</v>
      </c>
      <c r="G103" t="str">
        <v>N/A</v>
      </c>
      <c r="H103" t="str">
        <v>Y</v>
      </c>
      <c r="I103" t="str">
        <v>S1</v>
      </c>
      <c r="J103" t="str">
        <f>IF(AND(OR(K103="L", K103="M"), OR(L103="H", L103="M"), OR(M103="H", M103="M")),"Y","N")</f>
        <v>Y</v>
      </c>
      <c r="K103" t="str">
        <v>L</v>
      </c>
      <c r="L103" t="str">
        <v>H</v>
      </c>
      <c r="M103" t="str">
        <v>H</v>
      </c>
    </row>
    <row r="104">
      <c r="A104" t="str">
        <v>Matthew 5:8</v>
      </c>
      <c r="B104" t="str">
        <v>Banboo forest in sunlight</v>
      </c>
      <c r="C104">
        <v>45690</v>
      </c>
      <c r="D104" t="str">
        <v>https://www.dropbox.com/scl/fi/erakrvatmjq46s59sp51l/IMG_2026.JPG?rlkey=lrmnj6gyythjf63o5dj4oxb00&amp;dl=0</v>
      </c>
      <c r="E104" t="str">
        <v>N/A</v>
      </c>
      <c r="F104" t="str">
        <v>N/A</v>
      </c>
      <c r="G104" t="str">
        <v>N/A</v>
      </c>
      <c r="H104" t="str">
        <v>Y</v>
      </c>
      <c r="I104" t="str">
        <v>S1</v>
      </c>
      <c r="J104" t="str">
        <f>IF(AND(OR(K104="L", K104="M"), OR(L104="H", L104="M"), OR(M104="H", M104="M")),"Y","N")</f>
        <v>Y</v>
      </c>
      <c r="K104" t="str">
        <v>L</v>
      </c>
      <c r="L104" t="str">
        <v>H</v>
      </c>
      <c r="M104" t="str">
        <v>H</v>
      </c>
    </row>
    <row r="105">
      <c r="A105" t="str">
        <v>John 11:25</v>
      </c>
      <c r="B105" t="str">
        <v>Pine trees at the lake in sunrise</v>
      </c>
      <c r="C105">
        <v>45765</v>
      </c>
      <c r="D105" t="str">
        <v>https://www.dropbox.com/scl/fi/719fu20riiglo3b9yu4m5/IMG_2028.JPG?rlkey=kl7d1oyf797gqf2mrv81tqde0&amp;dl=0</v>
      </c>
      <c r="E105" t="str">
        <v>N/A</v>
      </c>
      <c r="F105" t="str">
        <v>N/A</v>
      </c>
      <c r="G105" t="str">
        <v>N/A</v>
      </c>
      <c r="H105" t="str">
        <v>Y</v>
      </c>
      <c r="I105" t="str">
        <v>S1</v>
      </c>
      <c r="J105" t="str">
        <f>IF(AND(OR(K105="L", K105="M"), OR(L105="H", L105="M"), OR(M105="H", M105="M")),"Y","N")</f>
        <v>Y</v>
      </c>
      <c r="K105" t="str">
        <v>L</v>
      </c>
      <c r="L105" t="str">
        <v>H</v>
      </c>
      <c r="M105" t="str">
        <v>H</v>
      </c>
    </row>
    <row r="106">
      <c r="A106" t="str">
        <v>John 5:29</v>
      </c>
      <c r="B106" t="str">
        <v>Trees with live and dead leaves in the dark</v>
      </c>
      <c r="C106">
        <v>45767</v>
      </c>
      <c r="D106" t="str">
        <v>https://www.dropbox.com/scl/fi/gqhoc503losp7s794v6ks/IMG_2029.JPG?rlkey=vawpwfgn7r93isg07dz7s1w2o&amp;dl=0</v>
      </c>
      <c r="E106" t="str">
        <v>N/A</v>
      </c>
      <c r="F106" t="str">
        <v>N/A</v>
      </c>
      <c r="G106" t="str">
        <v>N/A</v>
      </c>
      <c r="H106" t="str">
        <v>Y</v>
      </c>
      <c r="I106" t="str">
        <v>S1</v>
      </c>
      <c r="J106" t="str">
        <f>IF(AND(OR(K106="L", K106="M"), OR(L106="H", L106="M"), OR(M106="H", M106="M")),"Y","N")</f>
        <v>Y</v>
      </c>
      <c r="K106" t="str">
        <v>L</v>
      </c>
      <c r="L106" t="str">
        <v>H</v>
      </c>
      <c r="M106" t="str">
        <v>H</v>
      </c>
    </row>
    <row r="107">
      <c r="A107" t="str">
        <v>Psalms 121:2</v>
      </c>
      <c r="B107" t="str">
        <v>Moon and stars overlooking the oak trees</v>
      </c>
      <c r="C107">
        <v>45776</v>
      </c>
      <c r="D107" t="str">
        <v>https://www.dropbox.com/scl/fi/5rfx1ylzjpbx1bprdco8g/IMG_2030.JPG?rlkey=0u6ngmv1r6s7g64yzhdvn86k1&amp;dl=0</v>
      </c>
      <c r="E107" t="str">
        <v>N/A</v>
      </c>
      <c r="F107" t="str">
        <v>N/A</v>
      </c>
      <c r="G107" t="str">
        <v>N/A</v>
      </c>
      <c r="H107" t="str">
        <v>Y</v>
      </c>
      <c r="I107" t="str">
        <v>S1</v>
      </c>
      <c r="J107" t="str">
        <f>IF(AND(OR(K107="L", K107="M"), OR(L107="H", L107="M"), OR(M107="H", M107="M")),"Y","N")</f>
        <v>Y</v>
      </c>
      <c r="K107" t="str">
        <v>L</v>
      </c>
      <c r="L107" t="str">
        <v>H</v>
      </c>
      <c r="M107" t="str">
        <v>H</v>
      </c>
    </row>
    <row r="108">
      <c r="A108" t="str">
        <v>Psalms 50:2</v>
      </c>
      <c r="B108" t="str">
        <v>Northen pole lights in snow winter</v>
      </c>
      <c r="C108">
        <v>45780</v>
      </c>
      <c r="D108" t="str">
        <v>https://www.dropbox.com/scl/fi/dhnfxsbrc9syz3bwkii6w/IMG_2031.JPG?rlkey=30s1raeqpucqdc0uca4jpmgrn&amp;dl=0</v>
      </c>
      <c r="E108" t="str">
        <v>N/A</v>
      </c>
      <c r="F108" t="str">
        <v>N/A</v>
      </c>
      <c r="G108" t="str">
        <v>N/A</v>
      </c>
      <c r="H108" t="str">
        <v>Y</v>
      </c>
      <c r="I108" t="str">
        <v>S1</v>
      </c>
      <c r="J108" t="str">
        <f>IF(AND(OR(K108="L", K108="M"), OR(L108="H", L108="M"), OR(M108="H", M108="M")),"Y","N")</f>
        <v>Y</v>
      </c>
      <c r="K108" t="str">
        <v>L</v>
      </c>
      <c r="L108" t="str">
        <v>M</v>
      </c>
      <c r="M108" t="str">
        <v>M</v>
      </c>
    </row>
    <row r="109">
      <c r="A109" t="str">
        <v>Job 33:28</v>
      </c>
      <c r="B109" t="str">
        <v>Sun, moon, and stars over the wilderness</v>
      </c>
      <c r="C109">
        <v>45790</v>
      </c>
      <c r="D109" t="str">
        <v>https://www.dropbox.com/scl/fi/cbbyca1rzruhs040zli3u/IMG_2032.JPG?rlkey=vj2nrj9p629im2roidq6o2m92&amp;dl=0</v>
      </c>
      <c r="E109" t="str">
        <v>N/A</v>
      </c>
      <c r="F109" t="str">
        <v>N/A</v>
      </c>
      <c r="G109" t="str">
        <v>N/A</v>
      </c>
      <c r="H109" t="str">
        <v>Y</v>
      </c>
      <c r="I109" t="str">
        <v>S1</v>
      </c>
      <c r="J109" t="str">
        <f>IF(AND(OR(K109="L", K109="M"), OR(L109="H", L109="M"), OR(M109="H", M109="M")),"Y","N")</f>
        <v>Y</v>
      </c>
      <c r="K109" t="str">
        <v>L</v>
      </c>
      <c r="L109" t="str">
        <v>M</v>
      </c>
      <c r="M109" t="str">
        <v>M</v>
      </c>
    </row>
    <row r="110">
      <c r="A110" t="str">
        <v>John 3:16</v>
      </c>
      <c r="B110" t="str">
        <v>Orchid</v>
      </c>
      <c r="C110">
        <v>44192</v>
      </c>
      <c r="D110" t="str">
        <v>https://www.dropbox.com/scl/fi/nfdyigrwhot3y6a0pqty0/IMG_1686.JPG?rlkey=jdvfq0yy1tk5u58oqpwcdxnrj&amp;dl=0</v>
      </c>
      <c r="E110" t="str">
        <v>今天是2020年的最后一个主日下，周五就是新年了，我们感谢，纪念我们的主在这一年中间让我们平安健康。相信在新的一年中，祂也必与我们同在，在我们中间行使衪恩典復活的大能！</v>
      </c>
      <c r="F110" t="str">
        <v>N/A</v>
      </c>
      <c r="G110" t="str">
        <v>N/A</v>
      </c>
      <c r="H110" t="str">
        <f>IF(AND(OR(I110="L", I110="M"), OR(J110="H", J110="M"), OR(K110="H", K110="M")),"Y","N")</f>
        <v>N</v>
      </c>
      <c r="I110" t="str">
        <f>IF(AND(OR(J110="L", J110="M"), OR(K110="H", K110="M"), OR(L110="H", L110="M")),"Y","N")</f>
        <v>N</v>
      </c>
      <c r="J110" t="str">
        <f>IF(AND(OR(K110="L", K110="M"), OR(L110="H", L110="M"), OR(M110="H", M110="M")),"Y","N")</f>
        <v>N</v>
      </c>
      <c r="K110" t="str">
        <v>H</v>
      </c>
      <c r="L110" t="str">
        <v>M</v>
      </c>
      <c r="M110" t="str">
        <v>M</v>
      </c>
    </row>
    <row r="111">
      <c r="A111" t="str">
        <v>Colossians 2:6-7</v>
      </c>
      <c r="B111" t="str">
        <v>Pine tree</v>
      </c>
      <c r="C111">
        <v>44192</v>
      </c>
      <c r="D111" t="str">
        <v>https://www.dropbox.com/scl/fi/gx0vx5tjzn7yznmdpcdao/IMG_1687.JPG?rlkey=i35ty44pdife23sqs22o20ndm&amp;dl=0</v>
      </c>
      <c r="E111" t="str">
        <v>N/A</v>
      </c>
      <c r="F111" t="str">
        <v>N/A</v>
      </c>
      <c r="G111" t="str">
        <v>N/A</v>
      </c>
      <c r="H111" t="str">
        <f>IF(AND(OR(I111="L", I111="M"), OR(J111="H", J111="M"), OR(K111="H", K111="M")),"Y","N")</f>
        <v>N</v>
      </c>
      <c r="I111" t="str">
        <f>IF(AND(OR(J111="L", J111="M"), OR(K111="H", K111="M"), OR(L111="H", L111="M")),"Y","N")</f>
        <v>N</v>
      </c>
      <c r="J111" t="str">
        <f>IF(AND(OR(K111="L", K111="M"), OR(L111="H", L111="M"), OR(M111="H", M111="M")),"Y","N")</f>
        <v>N</v>
      </c>
      <c r="K111" t="str">
        <v>L</v>
      </c>
      <c r="L111" t="str">
        <v>L</v>
      </c>
      <c r="M111" t="str">
        <v>M</v>
      </c>
    </row>
    <row r="112">
      <c r="A112" t="str">
        <v>Psalms 62:5-7</v>
      </c>
      <c r="B112" t="str">
        <v>Mountains</v>
      </c>
      <c r="C112">
        <v>44196</v>
      </c>
      <c r="D112" t="str">
        <v>https://www.dropbox.com/scl/fi/y3mz8j1hmgufl50ieqe7k/IMG_1689.JPG?rlkey=opxz289tl50hhyyie5l7iiamy&amp;dl=0</v>
      </c>
      <c r="E112" t="str">
        <v>N/A</v>
      </c>
      <c r="F112" t="str">
        <v>N/A</v>
      </c>
      <c r="G112" t="str">
        <v>N/A</v>
      </c>
      <c r="H112" t="str">
        <f>IF(AND(OR(I112="L", I112="M"), OR(J112="H", J112="M"), OR(K112="H", K112="M")),"Y","N")</f>
        <v>N</v>
      </c>
      <c r="I112" t="str">
        <f>IF(AND(OR(J112="L", J112="M"), OR(K112="H", K112="M"), OR(L112="H", L112="M")),"Y","N")</f>
        <v>N</v>
      </c>
      <c r="J112" t="str">
        <f>IF(AND(OR(K112="L", K112="M"), OR(L112="H", L112="M"), OR(M112="H", M112="M")),"Y","N")</f>
        <v>N</v>
      </c>
      <c r="K112" t="str">
        <v>L</v>
      </c>
      <c r="L112" t="str">
        <v>L</v>
      </c>
      <c r="M112" t="str">
        <v>H</v>
      </c>
    </row>
    <row r="113">
      <c r="A113" t="str">
        <v>Deuteronomy 11:12</v>
      </c>
      <c r="B113" t="str">
        <v>Narcissus</v>
      </c>
      <c r="C113">
        <v>44197</v>
      </c>
      <c r="D113" t="str">
        <v>https://www.dropbox.com/scl/fi/c6ya7mnrcg6k8cgweam4b/IMG_1690.JPG?rlkey=qbo34cex31sbsa74sfj5ps6no&amp;dl=0</v>
      </c>
      <c r="E113" t="str">
        <v>孙弟兄，谢谢你发过来的圣经節和你的画，我特喜欢我也把它转发给弟兄姊妹国内的，美国的，通常我在主日发给他们一些主的话，互相勉励，因为主的话是给我们的力量的源泉。</v>
      </c>
      <c r="F113" t="str">
        <v>N/A</v>
      </c>
      <c r="G113" t="str">
        <v>N/A</v>
      </c>
      <c r="H113" t="str">
        <f>IF(AND(OR(I113="L", I113="M"), OR(J113="H", J113="M"), OR(K113="H", K113="M")),"Y","N")</f>
        <v>N</v>
      </c>
      <c r="I113" t="str">
        <f>IF(AND(OR(J113="L", J113="M"), OR(K113="H", K113="M"), OR(L113="H", L113="M")),"Y","N")</f>
        <v>N</v>
      </c>
      <c r="J113" t="str">
        <f>IF(AND(OR(K113="L", K113="M"), OR(L113="H", L113="M"), OR(M113="H", M113="M")),"Y","N")</f>
        <v>N</v>
      </c>
      <c r="K113" t="str">
        <v>M</v>
      </c>
      <c r="L113" t="str">
        <v>L</v>
      </c>
      <c r="M113" t="str">
        <v>M</v>
      </c>
    </row>
    <row r="114">
      <c r="A114" t="str">
        <v>Psalms 36:5-6</v>
      </c>
      <c r="B114" t="str">
        <v>Mountains</v>
      </c>
      <c r="C114">
        <v>44198</v>
      </c>
      <c r="D114" t="str">
        <v>https://www.dropbox.com/scl/fi/mpg16bdws4pqmorevi2m6/IMG_1691.JPG?rlkey=j7oavm9h0hjxkymd37vh6x3a9&amp;dl=0</v>
      </c>
      <c r="E114" t="str">
        <v>主啊，今天是祢复活的日子，2021年的第一个主日，我们在复活里纪念祢！赞美祢给我们新的生命，迎接新的一年。</v>
      </c>
      <c r="F114" t="str">
        <v>N/A</v>
      </c>
      <c r="G114" t="str">
        <v>N/A</v>
      </c>
      <c r="H114" t="str">
        <f>IF(AND(OR(I114="L", I114="M"), OR(J114="H", J114="M"), OR(K114="H", K114="M")),"Y","N")</f>
        <v>N</v>
      </c>
      <c r="I114" t="str">
        <f>IF(AND(OR(J114="L", J114="M"), OR(K114="H", K114="M"), OR(L114="H", L114="M")),"Y","N")</f>
        <v>N</v>
      </c>
      <c r="J114" t="str">
        <f>IF(AND(OR(K114="L", K114="M"), OR(L114="H", L114="M"), OR(M114="H", M114="M")),"Y","N")</f>
        <v>N</v>
      </c>
      <c r="K114" t="str">
        <v>L</v>
      </c>
      <c r="L114" t="str">
        <v>L</v>
      </c>
      <c r="M114" t="str">
        <v>M</v>
      </c>
    </row>
    <row r="115">
      <c r="A115" t="str">
        <v>Isaiah 40:31</v>
      </c>
      <c r="B115" t="str">
        <v>Eagle</v>
      </c>
      <c r="C115">
        <v>44199</v>
      </c>
      <c r="D115" t="str">
        <v>https://www.dropbox.com/scl/fi/aveb0y90e7gdf7ma1aeka/IMG_1692.JPG?rlkey=q43swmvygeovuplqaow9udc98&amp;dl=0</v>
      </c>
      <c r="E115" t="str">
        <v>N/A</v>
      </c>
      <c r="F115" t="str">
        <v>N/A</v>
      </c>
      <c r="G115" t="str">
        <v>N/A</v>
      </c>
      <c r="H115" t="str">
        <f>IF(AND(OR(I115="L", I115="M"), OR(J115="H", J115="M"), OR(K115="H", K115="M")),"Y","N")</f>
        <v>N</v>
      </c>
      <c r="I115" t="str">
        <f>IF(AND(OR(J115="L", J115="M"), OR(K115="H", K115="M"), OR(L115="H", L115="M")),"Y","N")</f>
        <v>N</v>
      </c>
      <c r="J115" t="str">
        <f>IF(AND(OR(K115="L", K115="M"), OR(L115="H", L115="M"), OR(M115="H", M115="M")),"Y","N")</f>
        <v>N</v>
      </c>
      <c r="K115" t="str">
        <v>L</v>
      </c>
      <c r="L115" t="str">
        <v>L</v>
      </c>
      <c r="M115" t="str">
        <v>M</v>
      </c>
    </row>
    <row r="116">
      <c r="A116" t="str">
        <v>Luke 4:4</v>
      </c>
      <c r="B116" t="str">
        <v>Prayer</v>
      </c>
      <c r="C116">
        <v>44200</v>
      </c>
      <c r="D116" t="str">
        <v>https://www.dropbox.com/scl/fi/kdwx7o0bucj0e3zj8e05x/IMG_1693.JPG?rlkey=wfalooqe0mky09v00uf95zawe&amp;dl=0</v>
      </c>
      <c r="E116" t="str">
        <v>这是我看着七妹的手画的，只是把她的手画老了。孙弟兄，谢谢你最新及時的書画，我灵我魂都得安慰！今天教会众聖徒不缺教导和聚会，就缺主的话和话中的实际！仇敌的工作可见之阴毒。愿祂的话籍着聖徒的祷告（七妹的顺服合手祷告圖）互相勉励，彼此代祷！</v>
      </c>
      <c r="F116" t="str">
        <v>N/A</v>
      </c>
      <c r="G116" t="str">
        <v>https://www.dropbox.com/scl/fi/panl4m08lbsn94xx95bho/IMG_2052.JPG?rlkey=dt3svq80rbp18v3o40r2phe9b&amp;dl=0</v>
      </c>
      <c r="H116" t="str">
        <f>IF(AND(OR(I116="L", I116="M"), OR(J116="H", J116="M"), OR(K116="H", K116="M")),"Y","N")</f>
        <v>N</v>
      </c>
      <c r="I116" t="str">
        <f>IF(AND(OR(J116="L", J116="M"), OR(K116="H", K116="M"), OR(L116="H", L116="M")),"Y","N")</f>
        <v>N</v>
      </c>
      <c r="J116" t="str">
        <f>IF(AND(OR(K116="L", K116="M"), OR(L116="H", L116="M"), OR(M116="H", M116="M")),"Y","N")</f>
        <v>N</v>
      </c>
      <c r="K116" t="str">
        <v>L</v>
      </c>
      <c r="L116" t="str">
        <v>L</v>
      </c>
      <c r="M116" t="str">
        <v>H</v>
      </c>
    </row>
    <row r="117">
      <c r="A117" t="str">
        <v>John 12:24</v>
      </c>
      <c r="B117" t="str">
        <v>A grain of wheat</v>
      </c>
      <c r="C117">
        <v>44202</v>
      </c>
      <c r="D117" t="str">
        <v>https://www.dropbox.com/scl/fi/elxbki177lfkoudo9htv2/IMG_1694.JPG?rlkey=lrt2xbyxulj0gpciffpg00ek8&amp;dl=0</v>
      </c>
      <c r="E117" t="str">
        <v>谢谢孫弟兄在教会的祷告，教会此時此刻最需属天的祷告，即坦然无惧地来到施恩的宝座前，为要得怜恤，蒙恩惠，作随时的帮助。</v>
      </c>
      <c r="F117" t="str">
        <v>N/A</v>
      </c>
      <c r="G117" t="str">
        <v>N/A</v>
      </c>
      <c r="H117" t="str">
        <f>IF(AND(OR(I117="L", I117="M"), OR(J117="H", J117="M"), OR(K117="H", K117="M")),"Y","N")</f>
        <v>N</v>
      </c>
      <c r="I117" t="str">
        <f>IF(AND(OR(J117="L", J117="M"), OR(K117="H", K117="M"), OR(L117="H", L117="M")),"Y","N")</f>
        <v>N</v>
      </c>
      <c r="J117" t="str">
        <f>IF(AND(OR(K117="L", K117="M"), OR(L117="H", L117="M"), OR(M117="H", M117="M")),"Y","N")</f>
        <v>N</v>
      </c>
      <c r="K117" t="str">
        <v>H</v>
      </c>
      <c r="L117" t="str">
        <v>L</v>
      </c>
      <c r="M117" t="str">
        <v>H</v>
      </c>
    </row>
    <row r="118">
      <c r="A118" t="str">
        <v>Matthew 12:18-21</v>
      </c>
      <c r="B118" t="str">
        <v>Reed &amp; weed</v>
      </c>
      <c r="C118">
        <v>44205</v>
      </c>
      <c r="D118" t="str">
        <v>https://www.dropbox.com/scl/fi/zeimw77e1tjosn12i1v7w/IMG_1695.JPG?rlkey=vy3uqex5me0u138k2x2f2z3uk&amp;dl=0</v>
      </c>
      <c r="E118" t="str">
        <v>孙弟兄，我已将这个书画经节刚才都发到了大陆各地的教会的弟兄姊妹们，他们是周日的上午，正应该先得到主的话，这是给他们每一周第一天应该得到的灵粮。主呀！愿祢的僕人们從祢的话中得到属天的供應，求祢祝福！</v>
      </c>
      <c r="F118" t="str">
        <v>N/A</v>
      </c>
      <c r="G118" t="str">
        <v>N/A</v>
      </c>
      <c r="H118" t="str">
        <f>IF(AND(OR(I118="L", I118="M"), OR(J118="H", J118="M"), OR(K118="H", K118="M")),"Y","N")</f>
        <v>N</v>
      </c>
      <c r="I118" t="str">
        <f>IF(AND(OR(J118="L", J118="M"), OR(K118="H", K118="M"), OR(L118="H", L118="M")),"Y","N")</f>
        <v>N</v>
      </c>
      <c r="J118" t="str">
        <f>IF(AND(OR(K118="L", K118="M"), OR(L118="H", L118="M"), OR(M118="H", M118="M")),"Y","N")</f>
        <v>N</v>
      </c>
      <c r="K118" t="str">
        <v>L</v>
      </c>
      <c r="L118" t="str">
        <v>L</v>
      </c>
      <c r="M118" t="str">
        <v>H</v>
      </c>
    </row>
    <row r="119">
      <c r="A119" t="str">
        <v>Habakkuk 3:17-18</v>
      </c>
      <c r="B119" t="str">
        <v>Doe</v>
      </c>
      <c r="C119">
        <v>44206</v>
      </c>
      <c r="D119" t="str">
        <v>https://www.dropbox.com/scl/fi/d4z3xxn7ebfttvqgq6zc3/IMG_1696.JPG?rlkey=q8kr8r1hqrxef0o4d2ss0nr2e&amp;dl=0</v>
      </c>
      <c r="E119" t="str">
        <v>N/A</v>
      </c>
      <c r="F119" t="str">
        <v>N/A</v>
      </c>
      <c r="G119" t="str">
        <v>N/A</v>
      </c>
      <c r="H119" t="str">
        <f>IF(AND(OR(I119="L", I119="M"), OR(J119="H", J119="M"), OR(K119="H", K119="M")),"Y","N")</f>
        <v>N</v>
      </c>
      <c r="I119" t="str">
        <f>IF(AND(OR(J119="L", J119="M"), OR(K119="H", K119="M"), OR(L119="H", L119="M")),"Y","N")</f>
        <v>N</v>
      </c>
      <c r="J119" t="str">
        <f>IF(AND(OR(K119="L", K119="M"), OR(L119="H", L119="M"), OR(M119="H", M119="M")),"Y","N")</f>
        <v>N</v>
      </c>
      <c r="K119" t="str">
        <v>L</v>
      </c>
      <c r="L119" t="str">
        <v>L</v>
      </c>
      <c r="M119" t="str">
        <v>M</v>
      </c>
    </row>
    <row r="120">
      <c r="A120" t="str">
        <v>Psalms 85:11</v>
      </c>
      <c r="B120" t="str">
        <v>Eagle</v>
      </c>
      <c r="C120">
        <v>44208</v>
      </c>
      <c r="D120" t="str">
        <v>https://www.dropbox.com/scl/fi/060472m9tzqytbbtbbeip/IMG_1697.JPG?rlkey=ws1qctlpw4k8z52ls7a1hq8nx&amp;dl=0</v>
      </c>
      <c r="E120" t="str">
        <v>N/A</v>
      </c>
      <c r="F120" t="str">
        <v>N/A</v>
      </c>
      <c r="G120" t="str">
        <v>N/A</v>
      </c>
      <c r="H120" t="str">
        <f>IF(AND(OR(I120="L", I120="M"), OR(J120="H", J120="M"), OR(K120="H", K120="M")),"Y","N")</f>
        <v>N</v>
      </c>
      <c r="I120" t="str">
        <f>IF(AND(OR(J120="L", J120="M"), OR(K120="H", K120="M"), OR(L120="H", L120="M")),"Y","N")</f>
        <v>N</v>
      </c>
      <c r="J120" t="str">
        <f>IF(AND(OR(K120="L", K120="M"), OR(L120="H", L120="M"), OR(M120="H", M120="M")),"Y","N")</f>
        <v>N</v>
      </c>
      <c r="K120" t="str">
        <v>L</v>
      </c>
      <c r="L120" t="str">
        <v>L</v>
      </c>
      <c r="M120" t="str">
        <v>M</v>
      </c>
    </row>
    <row r="121">
      <c r="A121" t="str">
        <v>Psalms 97:2</v>
      </c>
      <c r="B121" t="str">
        <v>Eagle</v>
      </c>
      <c r="C121">
        <v>44210</v>
      </c>
      <c r="D121" t="str">
        <v>https://www.dropbox.com/scl/fi/3hte61795pb4av0frgay1/IMG_1699.JPG?rlkey=vq038q7wd95g301t6jsykmsqz&amp;dl=0</v>
      </c>
      <c r="E121" t="str">
        <v>N/A</v>
      </c>
      <c r="F121" t="str">
        <v>N/A</v>
      </c>
      <c r="G121" t="str">
        <v>N/A</v>
      </c>
      <c r="H121" t="str">
        <f>IF(AND(OR(I121="L", I121="M"), OR(J121="H", J121="M"), OR(K121="H", K121="M")),"Y","N")</f>
        <v>N</v>
      </c>
      <c r="I121" t="str">
        <f>IF(AND(OR(J121="L", J121="M"), OR(K121="H", K121="M"), OR(L121="H", L121="M")),"Y","N")</f>
        <v>N</v>
      </c>
      <c r="J121" t="str">
        <f>IF(AND(OR(K121="L", K121="M"), OR(L121="H", L121="M"), OR(M121="H", M121="M")),"Y","N")</f>
        <v>N</v>
      </c>
      <c r="K121" t="str">
        <v>L</v>
      </c>
      <c r="L121" t="str">
        <v>L</v>
      </c>
      <c r="M121" t="str">
        <v>M</v>
      </c>
    </row>
    <row r="122">
      <c r="A122" t="str">
        <v>Ecclesiastes 14:34</v>
      </c>
      <c r="B122" t="str">
        <v>Eagle</v>
      </c>
      <c r="C122">
        <v>44211</v>
      </c>
      <c r="D122" t="str">
        <v>https://www.dropbox.com/scl/fi/snbyhnffs8fbee39n02fo/IMG_1700.JPG?rlkey=rsfakf8n98yhgbzumo1fp4gyb&amp;dl=0</v>
      </c>
      <c r="E122" t="str">
        <v>N/A</v>
      </c>
      <c r="F122" t="str">
        <v>N/A</v>
      </c>
      <c r="G122" t="str">
        <v>N/A</v>
      </c>
      <c r="H122" t="str">
        <f>IF(AND(OR(I122="L", I122="M"), OR(J122="H", J122="M"), OR(K122="H", K122="M")),"Y","N")</f>
        <v>N</v>
      </c>
      <c r="I122" t="str">
        <f>IF(AND(OR(J122="L", J122="M"), OR(K122="H", K122="M"), OR(L122="H", L122="M")),"Y","N")</f>
        <v>N</v>
      </c>
      <c r="J122" t="str">
        <f>IF(AND(OR(K122="L", K122="M"), OR(L122="H", L122="M"), OR(M122="H", M122="M")),"Y","N")</f>
        <v>N</v>
      </c>
      <c r="K122" t="str">
        <v>L</v>
      </c>
      <c r="L122" t="str">
        <v>L</v>
      </c>
      <c r="M122" t="str">
        <v>M</v>
      </c>
    </row>
    <row r="123">
      <c r="A123" t="str">
        <v>Song of Solomon 2:2</v>
      </c>
      <c r="B123" t="str">
        <v>Lily</v>
      </c>
      <c r="C123">
        <v>44212</v>
      </c>
      <c r="D123" t="str">
        <v>https://www.dropbox.com/scl/fi/pvb26x3pl8q7ajmq0qz3u/IMG_1701.JPG?rlkey=o6kg4wepyv23jh7s09uwzzvfz&amp;dl=0</v>
      </c>
      <c r="E123" t="str">
        <v>N/A</v>
      </c>
      <c r="F123" t="str">
        <v>N/A</v>
      </c>
      <c r="G123" t="str">
        <v>N/A</v>
      </c>
      <c r="H123" t="str">
        <f>IF(AND(OR(I123="L", I123="M"), OR(J123="H", J123="M"), OR(K123="H", K123="M")),"Y","N")</f>
        <v>N</v>
      </c>
      <c r="I123" t="str">
        <f>IF(AND(OR(J123="L", J123="M"), OR(K123="H", K123="M"), OR(L123="H", L123="M")),"Y","N")</f>
        <v>N</v>
      </c>
      <c r="J123" t="str">
        <f>IF(AND(OR(K123="L", K123="M"), OR(L123="H", L123="M"), OR(M123="H", M123="M")),"Y","N")</f>
        <v>N</v>
      </c>
      <c r="K123" t="str">
        <v>L</v>
      </c>
      <c r="L123" t="str">
        <v>L</v>
      </c>
      <c r="M123" t="str">
        <v>H</v>
      </c>
    </row>
    <row r="124">
      <c r="A124" t="str">
        <v>Genesis 22:17-18</v>
      </c>
      <c r="B124" t="str">
        <v>Flowers</v>
      </c>
      <c r="C124">
        <v>44212</v>
      </c>
      <c r="D124" t="str">
        <v>https://www.dropbox.com/scl/fi/xb8ejnhxq9jd9n8sg7i2a/IMG_1702.JPG?rlkey=8qe2g9akrf4wy5ibbt940q8v2&amp;dl=0</v>
      </c>
      <c r="E124" t="str">
        <v>N/A</v>
      </c>
      <c r="F124" t="str">
        <v>N/A</v>
      </c>
      <c r="G124" t="str">
        <v>N/A</v>
      </c>
      <c r="H124" t="str">
        <f>IF(AND(OR(I124="L", I124="M"), OR(J124="H", J124="M"), OR(K124="H", K124="M")),"Y","N")</f>
        <v>N</v>
      </c>
      <c r="I124" t="str">
        <f>IF(AND(OR(J124="L", J124="M"), OR(K124="H", K124="M"), OR(L124="H", L124="M")),"Y","N")</f>
        <v>N</v>
      </c>
      <c r="J124" t="str">
        <f>IF(AND(OR(K124="L", K124="M"), OR(L124="H", L124="M"), OR(M124="H", M124="M")),"Y","N")</f>
        <v>N</v>
      </c>
      <c r="K124" t="str">
        <v>L</v>
      </c>
      <c r="L124" t="str">
        <v>L</v>
      </c>
      <c r="M124" t="str">
        <v>H</v>
      </c>
    </row>
    <row r="125">
      <c r="A125" t="str">
        <v>John 15:1-2</v>
      </c>
      <c r="B125" t="str">
        <v>Grapes</v>
      </c>
      <c r="C125">
        <v>44212</v>
      </c>
      <c r="D125" t="str">
        <v>https://www.dropbox.com/scl/fi/t70l8vg2rw1wyer2m8hyi/IMG_1703.JPG?rlkey=wjgtk3xd3o2i3c6k23lz6xhdj&amp;dl=0</v>
      </c>
      <c r="E125" t="str">
        <v>N/A</v>
      </c>
      <c r="F125" t="str">
        <v>N/A</v>
      </c>
      <c r="G125" t="str">
        <v>N/A</v>
      </c>
      <c r="H125" t="str">
        <f>IF(AND(OR(I125="L", I125="M"), OR(J125="H", J125="M"), OR(K125="H", K125="M")),"Y","N")</f>
        <v>N</v>
      </c>
      <c r="I125" t="str">
        <f>IF(AND(OR(J125="L", J125="M"), OR(K125="H", K125="M"), OR(L125="H", L125="M")),"Y","N")</f>
        <v>N</v>
      </c>
      <c r="J125" t="str">
        <f>IF(AND(OR(K125="L", K125="M"), OR(L125="H", L125="M"), OR(M125="H", M125="M")),"Y","N")</f>
        <v>N</v>
      </c>
      <c r="K125" t="str">
        <v>H</v>
      </c>
      <c r="L125" t="str">
        <v>L</v>
      </c>
      <c r="M125" t="str">
        <v>H</v>
      </c>
    </row>
    <row r="126" xml:space="preserve">
      <c r="A126" t="str">
        <v>Justice and Grace</v>
      </c>
      <c r="B126" t="str">
        <v>Pine tree and plum blossom</v>
      </c>
      <c r="C126">
        <v>44213</v>
      </c>
      <c r="D126" t="str">
        <v>https://www.dropbox.com/scl/fi/ybpqmr468tpdiqnkjj1ia/IMG_1705.JPG?rlkey=12s4lrkuvqh1hq47ahc1i0jum&amp;dl=0</v>
      </c>
      <c r="E126" t="str" xml:space="preserve">
        <v xml:space="preserve">汉语繁体的“義”字是神的羔“羊”在上，为“我”的罪而受死在下。汉语的“恩”字是“因”着神羔羊为我受死在上，故我“心”存感激在下。谢谢潇湘逸竹匡仲湘姊妹的圣灵启示，请大家在我的书法习作中上下找找看“義”字和“恩”字在哪里。（答案：真正的“義”只有在耶稣基督里，因经上说，世上没有一个義人。经上又说，耶稣是生命、真理和道路。真正的“恩”在我们心灵诚实里，也在我们生命的实际中，我们的所想、所为和所是都要彰显神的生命、合乎神的心意、赞美和荣耀三一神，哈利路亚！）🙏🙏🙏_x000d_
还有一个“愛”字[愛心]，它是在“心”中煎熬、折磨、忍”受”，为我们的罪”受”死。大家找找看真“愛“在哪里。（答案：若是世上真的有真爱，耶稣基督就不会降临，为我们的罪受死、复活并赐我们永远的生命。唯一的真爱在耶稣基督里，复活和永生也在耶稣基督里。）</v>
      </c>
      <c r="F126" t="str">
        <v>N/A</v>
      </c>
      <c r="G126" t="str">
        <v>N/A</v>
      </c>
      <c r="H126" t="str">
        <f>IF(AND(OR(I126="L", I126="M"), OR(J126="H", J126="M"), OR(K126="H", K126="M")),"Y","N")</f>
        <v>N</v>
      </c>
      <c r="I126" t="str">
        <f>IF(AND(OR(J126="L", J126="M"), OR(K126="H", K126="M"), OR(L126="H", L126="M")),"Y","N")</f>
        <v>N</v>
      </c>
      <c r="J126" t="str">
        <f>IF(AND(OR(K126="L", K126="M"), OR(L126="H", L126="M"), OR(M126="H", M126="M")),"Y","N")</f>
        <v>N</v>
      </c>
      <c r="K126" t="str">
        <v>L</v>
      </c>
      <c r="L126" t="str">
        <v>L</v>
      </c>
      <c r="M126" t="str">
        <v>H</v>
      </c>
    </row>
    <row r="127">
      <c r="A127" t="str">
        <v>Hebrews 10:35-36</v>
      </c>
      <c r="B127" t="str">
        <v>Eagle</v>
      </c>
      <c r="C127">
        <v>44213</v>
      </c>
      <c r="D127" t="str">
        <v>https://www.dropbox.com/scl/fi/twjxsnq835vhtts3n4ziy/IMG_1704.JPG?rlkey=u64ublqkzjmiibk4b3l01e8on&amp;dl=0</v>
      </c>
      <c r="E127" t="str">
        <v>N/A</v>
      </c>
      <c r="F127" t="str">
        <v>N/A</v>
      </c>
      <c r="G127" t="str">
        <v>N/A</v>
      </c>
      <c r="H127" t="str">
        <f>IF(AND(OR(I127="L", I127="M"), OR(J127="H", J127="M"), OR(K127="H", K127="M")),"Y","N")</f>
        <v>N</v>
      </c>
      <c r="I127" t="str">
        <f>IF(AND(OR(J127="L", J127="M"), OR(K127="H", K127="M"), OR(L127="H", L127="M")),"Y","N")</f>
        <v>N</v>
      </c>
      <c r="J127" t="str">
        <f>IF(AND(OR(K127="L", K127="M"), OR(L127="H", L127="M"), OR(M127="H", M127="M")),"Y","N")</f>
        <v>N</v>
      </c>
      <c r="K127" t="str">
        <v>L</v>
      </c>
      <c r="L127" t="str">
        <v>L</v>
      </c>
      <c r="M127" t="str">
        <v>M</v>
      </c>
    </row>
    <row r="128">
      <c r="A128" t="str">
        <v>1 John 1:9</v>
      </c>
      <c r="B128" t="str">
        <v>Waterfall</v>
      </c>
      <c r="C128">
        <v>44215</v>
      </c>
      <c r="D128" t="str">
        <v>https://www.dropbox.com/scl/fi/mp8y9r3q20trazj3sx1uz/IMG_1706.JPG?rlkey=z4inz2pxz6dq2j16cs7eqczcy&amp;dl=0</v>
      </c>
      <c r="E128" t="str">
        <v>孫弟兄，我无法用言语表达我想要说的，只能说感谢主，衪拣选你在这時侯用你的書画來傳楊衪的福音，使你在祂话语职事上有份，这是何等蒙福的事工，我灵我魂喜悦！现在前几个主日的清晨都有约350位信徒和福音朋友收看到你的書画(以前我是用台湾福音書房印的月歴），众聖徒反应良好，很喜欢。我祷告主，求祂自己成全和祝福衪自己的话语！</v>
      </c>
      <c r="F128" t="str">
        <v>N/A</v>
      </c>
      <c r="G128" t="str">
        <v>N/A</v>
      </c>
      <c r="H128" t="str">
        <f>IF(AND(OR(I128="L", I128="M"), OR(J128="H", J128="M"), OR(K128="H", K128="M")),"Y","N")</f>
        <v>N</v>
      </c>
      <c r="I128" t="str">
        <f>IF(AND(OR(J128="L", J128="M"), OR(K128="H", K128="M"), OR(L128="H", L128="M")),"Y","N")</f>
        <v>N</v>
      </c>
      <c r="J128" t="str">
        <f>IF(AND(OR(K128="L", K128="M"), OR(L128="H", L128="M"), OR(M128="H", M128="M")),"Y","N")</f>
        <v>N</v>
      </c>
      <c r="K128" t="str">
        <v>L</v>
      </c>
      <c r="L128" t="str">
        <v>L</v>
      </c>
      <c r="M128" t="str">
        <v>M</v>
      </c>
    </row>
    <row r="129">
      <c r="A129" t="str">
        <v>1 Peter 2:9</v>
      </c>
      <c r="B129" t="str">
        <v>Lake view</v>
      </c>
      <c r="C129">
        <v>44216</v>
      </c>
      <c r="D129" t="str">
        <v>https://www.dropbox.com/scl/fi/uh5giv4zrgeaeej50bz8e/IMG_1707.JPG?rlkey=spqvrwgw9qpb6thk8x9jnf13j&amp;dl=0</v>
      </c>
      <c r="E129" t="str">
        <v>N/A</v>
      </c>
      <c r="F129" t="str">
        <v>N/A</v>
      </c>
      <c r="G129" t="str">
        <v>N/A</v>
      </c>
      <c r="H129" t="str">
        <f>IF(AND(OR(I129="L", I129="M"), OR(J129="H", J129="M"), OR(K129="H", K129="M")),"Y","N")</f>
        <v>N</v>
      </c>
      <c r="I129" t="str">
        <f>IF(AND(OR(J129="L", J129="M"), OR(K129="H", K129="M"), OR(L129="H", L129="M")),"Y","N")</f>
        <v>N</v>
      </c>
      <c r="J129" t="str">
        <f>IF(AND(OR(K129="L", K129="M"), OR(L129="H", L129="M"), OR(M129="H", M129="M")),"Y","N")</f>
        <v>N</v>
      </c>
      <c r="K129" t="str">
        <v>L</v>
      </c>
      <c r="L129" t="str">
        <v>L</v>
      </c>
      <c r="M129" t="str">
        <v>M</v>
      </c>
    </row>
    <row r="130">
      <c r="A130" t="str">
        <v>1 Peter 4:7-8</v>
      </c>
      <c r="B130" t="str">
        <v>A couple of otters</v>
      </c>
      <c r="C130">
        <v>44218</v>
      </c>
      <c r="D130" t="str">
        <v>https://www.dropbox.com/scl/fi/35y0d6hegg4gko3lzezfv/IMG_1708.JPG?rlkey=6p57wzfviqi8lh9pxxed76ioq&amp;dl=0</v>
      </c>
      <c r="E130" t="str">
        <v>今日分享我女儿西兰要我画的水獭和写的她找出来的经节【彼得前书4:7-8】</v>
      </c>
      <c r="F130" t="str">
        <v>谢谢陈弟兄为我祷告，感谢你在圣灵中为我扶持和鼓励。马太福音24:35 、路加福音21：33节： ”天地要废去，我的话却不能废去。” 当下疫情严重，传福音是我从你那里学来的负担。我把你回中国传福音的经历分享给这里教会甘露团契的弟兄姐妹们，他们都很感动。记得有一次你告诉我为了传福音专门买了一张从上海去北京的高铁票，为了给一位素不相识的人一路上传福音。去年我带儿子花了四十天一起读完标杆人生这本书，帮助他从小树立以神为中心的人生观。我那时就感觉虽然过几年到孩子开始读大学了，就到退休年龄了，人生在地上真的很快，如你以前所说的，会感觉越来越快，但很想做点力所能及而又荣耀神的事情，于是很多次祷告后就有了这个想法和异像。我已经几十年没拿笔了，接下来想花十年时间好好学习练习书法绘画，目的是以后更能让人们因着对书画开始兴趣渐渐被吸引到神的话中去。只有神的话才有传福音的能力，才是真正的福音本身。这几天开始看到一点奇妙的现象，几位以前不认识甚至不认可耶稣基督的亲戚朋友开始点赞我的每日分享。他们若能经常看上一年主的话，相信神的话会在他们灵里做工。这个工将是神自己做的，人做不了，至少我做不了。但我能做的是坚持书写主的话至少十年。祈求神给我长寿，我会二十年、三十年，一直到人生的标杆。其实不应该说坚持，而是喜乐。每次有时间写和画，我最喜乐，因我都是在真正吃主的话，一字一句认认真真的读和写，祷读话的含义和实际，有自己的得着后再构思绘画。愿主祝福我手上为他的福音将做的工，荣耀他的名。陈弟兄有什么主的话请和我分享，我可以试着用书画表达。几乎每天都有弟兄姐妹给我主的话，我感觉真富有，神的恩典真的够我用，何等丰盛！</v>
      </c>
      <c r="G130" t="str">
        <v>N/A</v>
      </c>
      <c r="H130" t="str">
        <f>IF(AND(OR(I130="L", I130="M"), OR(J130="H", J130="M"), OR(K130="H", K130="M")),"Y","N")</f>
        <v>N</v>
      </c>
      <c r="I130" t="str">
        <f>IF(AND(OR(J130="L", J130="M"), OR(K130="H", K130="M"), OR(L130="H", L130="M")),"Y","N")</f>
        <v>N</v>
      </c>
      <c r="J130" t="str">
        <f>IF(AND(OR(K130="L", K130="M"), OR(L130="H", L130="M"), OR(M130="H", M130="M")),"Y","N")</f>
        <v>N</v>
      </c>
      <c r="K130" t="str">
        <v>L</v>
      </c>
      <c r="L130" t="str">
        <v>L</v>
      </c>
      <c r="M130" t="str">
        <v>L</v>
      </c>
    </row>
    <row r="131">
      <c r="A131" t="str">
        <v>Psalms 22:27-28</v>
      </c>
      <c r="B131" t="str">
        <v>A couple of eagles</v>
      </c>
      <c r="C131">
        <v>44220</v>
      </c>
      <c r="D131" t="str">
        <v>https://www.dropbox.com/scl/fi/f4ldtf6gku6fz9e30s6k0/IMG_1709.JPG?rlkey=kkyy9ced7kg4socl5nmhecp2t&amp;dl=0</v>
      </c>
      <c r="E131" t="str">
        <v>今日分享我们晚上刚读过的圣经【诗篇22:27-28】画是根据我们社区邻居在后院拍到的照片写意而成，她名字叫Karen Sands。已征得她同意沿用她的照片，不过她要求每次用照片需要提她的名字，因是她个人拍照的版权。谢谢。</v>
      </c>
      <c r="F131" t="str">
        <v>N/A</v>
      </c>
      <c r="G131" t="str">
        <v>https://www.dropbox.com/scl/fi/w4cks7g2q6d166tmxoiq1/IMG_1711.JPG?rlkey=o2789licjjlsx4klqsshmoerx&amp;dl=0</v>
      </c>
      <c r="H131" t="str">
        <f>IF(AND(OR(I131="L", I131="M"), OR(J131="H", J131="M"), OR(K131="H", K131="M")),"Y","N")</f>
        <v>N</v>
      </c>
      <c r="I131" t="str">
        <f>IF(AND(OR(J131="L", J131="M"), OR(K131="H", K131="M"), OR(L131="H", L131="M")),"Y","N")</f>
        <v>N</v>
      </c>
      <c r="J131" t="str">
        <f>IF(AND(OR(K131="L", K131="M"), OR(L131="H", L131="M"), OR(M131="H", M131="M")),"Y","N")</f>
        <v>N</v>
      </c>
      <c r="K131" t="str">
        <v>L</v>
      </c>
      <c r="L131" t="str">
        <v>L</v>
      </c>
      <c r="M131" t="str">
        <v>M</v>
      </c>
    </row>
    <row r="132">
      <c r="A132" t="str">
        <v>Matthew 5:8</v>
      </c>
      <c r="B132" t="str">
        <v>Sister reading bible</v>
      </c>
      <c r="C132">
        <v>44221</v>
      </c>
      <c r="D132" t="str">
        <v>https://www.dropbox.com/scl/fi/xvcs8ku94sb6m49ixdgdj/IMG_1713.JPG?rlkey=ggvsnyr1yj9ngh33b15ovznpt&amp;dl=0</v>
      </c>
      <c r="E132" t="str">
        <v>N/A</v>
      </c>
      <c r="F132" t="str">
        <v>N/A</v>
      </c>
      <c r="G132" t="str">
        <v>N/A</v>
      </c>
      <c r="H132" t="str">
        <f>IF(AND(OR(I132="L", I132="M"), OR(J132="H", J132="M"), OR(K132="H", K132="M")),"Y","N")</f>
        <v>N</v>
      </c>
      <c r="I132" t="str">
        <f>IF(AND(OR(J132="L", J132="M"), OR(K132="H", K132="M"), OR(L132="H", L132="M")),"Y","N")</f>
        <v>N</v>
      </c>
      <c r="J132" t="str">
        <f>IF(AND(OR(K132="L", K132="M"), OR(L132="H", L132="M"), OR(M132="H", M132="M")),"Y","N")</f>
        <v>N</v>
      </c>
      <c r="K132" t="str">
        <v>M</v>
      </c>
      <c r="L132" t="str">
        <v>L</v>
      </c>
      <c r="M132" t="str">
        <v>M</v>
      </c>
    </row>
    <row r="133">
      <c r="A133" t="str">
        <v>Psalms 20:7-8</v>
      </c>
      <c r="B133" t="str">
        <v>Flowers</v>
      </c>
      <c r="C133">
        <v>44223</v>
      </c>
      <c r="D133" t="str">
        <v>https://www.dropbox.com/scl/fi/1pc7hjw04rwafgyq1nnop/IMG_1714.JPG?rlkey=h243kn7rhlyr2hiyhkmfqop65&amp;dl=0</v>
      </c>
      <c r="E133" t="str">
        <v>这些花像真的一样，很有立体感！山峰的松树壮观，满有生命的活力！我们的主就是那样！</v>
      </c>
      <c r="F133" t="str">
        <v>N/A</v>
      </c>
      <c r="G133" t="str">
        <v>N/A</v>
      </c>
      <c r="H133" t="str">
        <v>N</v>
      </c>
      <c r="I133" t="str">
        <v>S1</v>
      </c>
      <c r="J133" t="str">
        <f>IF(AND(OR(K133="L", K133="M"), OR(L133="H", L133="M"), OR(M133="H", M133="M")),"Y","N")</f>
        <v>Y</v>
      </c>
      <c r="K133" t="str">
        <v>L</v>
      </c>
      <c r="L133" t="str">
        <v>M</v>
      </c>
      <c r="M133" t="str">
        <v>M</v>
      </c>
    </row>
    <row r="134">
      <c r="A134" t="str">
        <v>John 3:16</v>
      </c>
      <c r="B134" t="str">
        <v>Peony flowers (red)</v>
      </c>
      <c r="C134">
        <v>44226</v>
      </c>
      <c r="D134" t="str">
        <v>https://www.dropbox.com/scl/fi/vev51b0umfa47jhonbtzl/IMG_1718.JPG?rlkey=y4j09cphhueuio1bmxci0j9k7&amp;dl=0</v>
      </c>
      <c r="E134" t="str">
        <v>孫弟兄，感谢主賜你服事话语的恩赐，各处教会弟兄姐妹们都喜欢，灵里得供應，愿神祝福！</v>
      </c>
      <c r="F134" t="str">
        <v>N/A</v>
      </c>
      <c r="G134" t="str">
        <v>N/A</v>
      </c>
      <c r="H134" t="str">
        <f>IF(AND(OR(I134="L", I134="M"), OR(J134="H", J134="M"), OR(K134="H", K134="M")),"Y","N")</f>
        <v>N</v>
      </c>
      <c r="I134" t="str">
        <f>IF(AND(OR(J134="L", J134="M"), OR(K134="H", K134="M"), OR(L134="H", L134="M")),"Y","N")</f>
        <v>N</v>
      </c>
      <c r="J134" t="str">
        <f>IF(AND(OR(K134="L", K134="M"), OR(L134="H", L134="M"), OR(M134="H", M134="M")),"Y","N")</f>
        <v>N</v>
      </c>
      <c r="K134" t="str">
        <v>M</v>
      </c>
      <c r="L134" t="str">
        <v>L</v>
      </c>
      <c r="M134" t="str">
        <v>M</v>
      </c>
    </row>
    <row r="135">
      <c r="A135" t="str">
        <v>1 Thessalonians 5:16</v>
      </c>
      <c r="B135" t="str">
        <v>A couple of red-crowned cranes</v>
      </c>
      <c r="C135">
        <v>44226</v>
      </c>
      <c r="D135" t="str">
        <v>https://www.dropbox.com/scl/fi/apwh37r96sxhp6agky89s/IMG_1716.JPG?rlkey=6ap6j7vpef6yqh8rq80d1aapg&amp;dl=0</v>
      </c>
      <c r="E135" t="str">
        <v>N/A</v>
      </c>
      <c r="F135" t="str">
        <v>N/A</v>
      </c>
      <c r="G135" t="str">
        <v>N/A</v>
      </c>
      <c r="H135" t="str">
        <v>N</v>
      </c>
      <c r="I135" t="str">
        <v>S1</v>
      </c>
      <c r="J135" t="str">
        <f>IF(AND(OR(K135="L", K135="M"), OR(L135="H", L135="M"), OR(M135="H", M135="M")),"Y","N")</f>
        <v>Y</v>
      </c>
      <c r="K135" t="str">
        <v>L</v>
      </c>
      <c r="L135" t="str">
        <v>M</v>
      </c>
      <c r="M135" t="str">
        <v>M</v>
      </c>
    </row>
    <row r="136">
      <c r="A136" t="str">
        <v>Proverbs 4:23</v>
      </c>
      <c r="B136" t="str">
        <v>Mountain view</v>
      </c>
      <c r="C136">
        <v>44232</v>
      </c>
      <c r="D136" t="str">
        <v>https://www.dropbox.com/scl/fi/gg7t1cgh8t7exoqe2og7m/IMG_1721.JPG?rlkey=tyatgl0za31d05gazjyzc7ve0&amp;dl=0</v>
      </c>
      <c r="E136" t="str">
        <v>孫弟兄，你好，你的最新書画和箴言 4:23，你要保守你心，胜过保守一切，因为一生的果效，是由心发出的！真好！感谢主！我已将经节发出去东南亚大陆，因为他们那里已经是星期天的上午,也就是说，他们是已经主日了，盼望在这七天的第一天，也是主復活的日子，清早他们就能够先得到主的话，供应他们灵粮，我已经发出去。我已经发出去将近200份，也就是说有将近200个弟兄姊妹们，现在已经能够看到主的话，愿  神祝福这些话，明天早晨我将继续发在美国的。</v>
      </c>
      <c r="F136" t="str">
        <v>N/A</v>
      </c>
      <c r="G136" t="str">
        <v>N/A</v>
      </c>
      <c r="H136" t="str">
        <f>IF(AND(OR(I136="L", I136="M"), OR(J136="H", J136="M"), OR(K136="H", K136="M")),"Y","N")</f>
        <v>N</v>
      </c>
      <c r="I136" t="str">
        <f>IF(AND(OR(J136="L", J136="M"), OR(K136="H", K136="M"), OR(L136="H", L136="M")),"Y","N")</f>
        <v>N</v>
      </c>
      <c r="J136" t="str">
        <f>IF(AND(OR(K136="L", K136="M"), OR(L136="H", L136="M"), OR(M136="H", M136="M")),"Y","N")</f>
        <v>N</v>
      </c>
      <c r="K136" t="str">
        <v>L</v>
      </c>
      <c r="L136" t="str">
        <v>L</v>
      </c>
      <c r="M136" t="str">
        <v>M</v>
      </c>
    </row>
    <row r="137">
      <c r="A137" t="str">
        <v>Jonah 3:2</v>
      </c>
      <c r="B137" t="str">
        <v>Mountains with light</v>
      </c>
      <c r="C137">
        <v>44234</v>
      </c>
      <c r="D137" t="str">
        <v>https://www.dropbox.com/scl/fi/fdlzy7ra62gmo2k433ti9/IMG_1720.JPG?rlkey=g7ovf45oasehb5lp7umy4qrn1&amp;dl=0</v>
      </c>
      <c r="E137" t="str">
        <v>简单水墨写意画解释：光寓意神，黑暗寓意撒旦，松树寓意子民。神光照我们驱除黑暗，使我们从世界中站立起来，向万民见证宣告神的福音和大能。神爱世人，神已经胜了世界。</v>
      </c>
      <c r="F137" t="str">
        <v>你的简单几句话，叫我联想到创世纪第一章第一节到第三节，起初 神创造天地。地是空虚混沌，渊面黑暗； 神的灵运行在水面上。 神说：“要有光”，就有了光。聖经一开始，就给我们看到  神的创造以及仇敌的破坏，就是黑暗的来到，但是神的灵运行（路加福音15:8-10 婦人点灯找失钱）在水面上，祂的救恩随即臨到我们！感谢主！衪的怜悯不离我们！路加福音1:78-79。</v>
      </c>
      <c r="G137" t="str">
        <v>N/A</v>
      </c>
      <c r="H137" t="str">
        <f>IF(AND(OR(I137="L", I137="M"), OR(J137="H", J137="M"), OR(K137="H", K137="M")),"Y","N")</f>
        <v>N</v>
      </c>
      <c r="I137" t="str">
        <f>IF(AND(OR(J137="L", J137="M"), OR(K137="H", K137="M"), OR(L137="H", L137="M")),"Y","N")</f>
        <v>N</v>
      </c>
      <c r="J137" t="str">
        <f>IF(AND(OR(K137="L", K137="M"), OR(L137="H", L137="M"), OR(M137="H", M137="M")),"Y","N")</f>
        <v>N</v>
      </c>
      <c r="K137" t="str">
        <v>L</v>
      </c>
      <c r="L137" t="str">
        <v>L</v>
      </c>
      <c r="M137" t="str">
        <v>M</v>
      </c>
    </row>
    <row r="138">
      <c r="A138" t="str">
        <v>Psalms 30:4-5</v>
      </c>
      <c r="B138" t="str">
        <v>Mountains in the cloud</v>
      </c>
      <c r="C138">
        <v>44237</v>
      </c>
      <c r="D138" t="str">
        <v>https://www.dropbox.com/scl/fi/m3hkn7yoyyvsmtlkgk85g/IMG_1723.JPG?rlkey=be5692w2r756r1vxluh9tegjn&amp;dl=0</v>
      </c>
      <c r="E138" t="str">
        <v>N/A</v>
      </c>
      <c r="F138" t="str">
        <v>N/A</v>
      </c>
      <c r="G138" t="str">
        <v>N/A</v>
      </c>
      <c r="H138" t="str">
        <f>IF(AND(OR(I138="L", I138="M"), OR(J138="H", J138="M"), OR(K138="H", K138="M")),"Y","N")</f>
        <v>N</v>
      </c>
      <c r="I138" t="str">
        <f>IF(AND(OR(J138="L", J138="M"), OR(K138="H", K138="M"), OR(L138="H", L138="M")),"Y","N")</f>
        <v>N</v>
      </c>
      <c r="J138" t="str">
        <f>IF(AND(OR(K138="L", K138="M"), OR(L138="H", L138="M"), OR(M138="H", M138="M")),"Y","N")</f>
        <v>N</v>
      </c>
      <c r="K138" t="str">
        <v>L</v>
      </c>
      <c r="L138" t="str">
        <v>L</v>
      </c>
      <c r="M138" t="str">
        <v>M</v>
      </c>
    </row>
    <row r="139">
      <c r="A139" t="str">
        <v>Isaiah 40:19</v>
      </c>
      <c r="B139" t="str">
        <v>Mountains and river</v>
      </c>
      <c r="C139">
        <v>44238</v>
      </c>
      <c r="D139" t="str">
        <v>https://www.dropbox.com/scl/fi/xkdxs9p35c1cpd3z3lcpd/IMG_1724.JPG?rlkey=bm1j46shrb0j1otrcmqvioxvo&amp;dl=0</v>
      </c>
      <c r="E139" t="str">
        <v>N/A</v>
      </c>
      <c r="F139" t="str">
        <v>林后5章17节若有人在基督里，他就是新造的人，舊事已过，都变成新的了。感谢主带领我们进入新的一年，盼望有祂更多的光照和带领！让衪的话丰丰富富被众聖徒得着！新年主恩常存！</v>
      </c>
      <c r="G139" t="str">
        <v>N/A</v>
      </c>
      <c r="H139" t="str">
        <f>IF(AND(OR(I139="L", I139="M"), OR(J139="H", J139="M"), OR(K139="H", K139="M")),"Y","N")</f>
        <v>N</v>
      </c>
      <c r="I139" t="str">
        <f>IF(AND(OR(J139="L", J139="M"), OR(K139="H", K139="M"), OR(L139="H", L139="M")),"Y","N")</f>
        <v>N</v>
      </c>
      <c r="J139" t="str">
        <f>IF(AND(OR(K139="L", K139="M"), OR(L139="H", L139="M"), OR(M139="H", M139="M")),"Y","N")</f>
        <v>N</v>
      </c>
      <c r="K139" t="str">
        <v>L</v>
      </c>
      <c r="L139" t="str">
        <v>L</v>
      </c>
      <c r="M139" t="str">
        <v>M</v>
      </c>
    </row>
    <row r="140">
      <c r="A140" t="str">
        <v>1 Samuel 25:6</v>
      </c>
      <c r="B140" t="str">
        <v>Plum blossom (red &amp; yellow)</v>
      </c>
      <c r="C140">
        <v>44239</v>
      </c>
      <c r="D140" t="str">
        <v>https://www.dropbox.com/scl/fi/oukrnti81e6q17y3lmmc5/IMG_1725.JPG?rlkey=0ctt0qb557ndol00xj2rnyjcd&amp;dl=0</v>
      </c>
      <c r="E140" t="str">
        <v>东南亚中国意思周日的上午这幅画我已经发出了。东南亚中国已经是周日的上午，我将这幅画已经发出去了，明天上午清早，我会把这幅画发给在美国各地的众聖徒。主！愿祢儿女常思念祢！</v>
      </c>
      <c r="F140" t="str">
        <v>N/A</v>
      </c>
      <c r="G140" t="str">
        <v>N/A</v>
      </c>
      <c r="H140" t="str">
        <f>IF(AND(OR(I140="L", I140="M"), OR(J140="H", J140="M"), OR(K140="H", K140="M")),"Y","N")</f>
        <v>N</v>
      </c>
      <c r="I140" t="str">
        <f>IF(AND(OR(J140="L", J140="M"), OR(K140="H", K140="M"), OR(L140="H", L140="M")),"Y","N")</f>
        <v>N</v>
      </c>
      <c r="J140" t="str">
        <f>IF(AND(OR(K140="L", K140="M"), OR(L140="H", L140="M"), OR(M140="H", M140="M")),"Y","N")</f>
        <v>N</v>
      </c>
      <c r="K140" t="str">
        <v>L</v>
      </c>
      <c r="L140" t="str">
        <v>L</v>
      </c>
      <c r="M140" t="str">
        <v>H</v>
      </c>
    </row>
    <row r="141">
      <c r="A141" t="str">
        <v>Jeremiah 31:3</v>
      </c>
      <c r="B141" t="str">
        <v>Rose (red)</v>
      </c>
      <c r="C141">
        <v>44240</v>
      </c>
      <c r="D141" t="str">
        <v>https://www.dropbox.com/scl/fi/o2ou4axkwdywb21skxyxl/IMG_1727.JPG?rlkey=t68w17q904dmqguvi9h9sx4ku&amp;dl=0</v>
      </c>
      <c r="E141" t="str">
        <v>N/A</v>
      </c>
      <c r="F141" t="str">
        <v>N/A</v>
      </c>
      <c r="G141" t="str">
        <v>N/A</v>
      </c>
      <c r="H141" t="str">
        <v>N</v>
      </c>
      <c r="I141" t="str">
        <v>S1</v>
      </c>
      <c r="J141" t="str">
        <f>IF(AND(OR(K141="L", K141="M"), OR(L141="H", L141="M"), OR(M141="H", M141="M")),"Y","N")</f>
        <v>Y</v>
      </c>
      <c r="K141" t="str">
        <v>L</v>
      </c>
      <c r="L141" t="str">
        <v>M</v>
      </c>
      <c r="M141" t="str">
        <v>H</v>
      </c>
    </row>
    <row r="142">
      <c r="A142" t="str">
        <v>Luke 10:27</v>
      </c>
      <c r="B142" t="str">
        <v>Rose (blue)</v>
      </c>
      <c r="C142">
        <v>44240</v>
      </c>
      <c r="D142" t="str">
        <v>https://www.dropbox.com/scl/fi/hou3ujne43wsymuumd1bg/IMG_1728.JPG?rlkey=7ygz8mug2oqc59mjndgbhnh6a&amp;dl=0</v>
      </c>
      <c r="E142" t="str">
        <v>N/A</v>
      </c>
      <c r="F142" t="str">
        <v>N/A</v>
      </c>
      <c r="G142" t="str">
        <v>N/A</v>
      </c>
      <c r="H142" t="str">
        <v>N</v>
      </c>
      <c r="I142" t="str">
        <v>S3</v>
      </c>
      <c r="J142" t="str">
        <f>IF(AND(OR(K142="L", K142="M"), OR(L142="H", L142="M"), OR(M142="H", M142="M")),"Y","N")</f>
        <v>Y</v>
      </c>
      <c r="K142" t="str">
        <v>M</v>
      </c>
      <c r="L142" t="str">
        <v>M</v>
      </c>
      <c r="M142" t="str">
        <v>H</v>
      </c>
    </row>
    <row r="143">
      <c r="A143" t="str">
        <v>John &amp; Hong's poem</v>
      </c>
      <c r="B143" t="str">
        <v>Plum blossom (red)</v>
      </c>
      <c r="C143">
        <v>44241</v>
      </c>
      <c r="D143" t="str">
        <v>https://www.dropbox.com/scl/fi/k40ot0vwor0rsgirhr99i/IMG_1730.JPG?rlkey=fdyybo6yxocca9zyrztsoi33y&amp;dl=0</v>
      </c>
      <c r="E143" t="str">
        <v>看到孙弟兄的梅花图，真的很喜庆也很喜欢！梅花一树春多少，休折枝头蓓蕾金。梅花香自苦寒来，一点春从画中來！</v>
      </c>
      <c r="F143" t="str">
        <v>陈弟兄，刚画了一幅画，给你们夫妇俩的情人节礼物。主！願禰兒女常思念禰！</v>
      </c>
      <c r="G143" t="str">
        <v>N/A</v>
      </c>
      <c r="H143" t="str">
        <f>IF(AND(OR(I143="L", I143="M"), OR(J143="H", J143="M"), OR(K143="H", K143="M")),"Y","N")</f>
        <v>N</v>
      </c>
      <c r="I143" t="str">
        <f>IF(AND(OR(J143="L", J143="M"), OR(K143="H", K143="M"), OR(L143="H", L143="M")),"Y","N")</f>
        <v>N</v>
      </c>
      <c r="J143" t="str">
        <f>IF(AND(OR(K143="L", K143="M"), OR(L143="H", L143="M"), OR(M143="H", M143="M")),"Y","N")</f>
        <v>N</v>
      </c>
      <c r="K143" t="str">
        <v>L</v>
      </c>
      <c r="L143" t="str">
        <v>L</v>
      </c>
      <c r="M143" t="str">
        <v>M</v>
      </c>
    </row>
    <row r="144">
      <c r="A144" t="str">
        <v>2 Corinthians 4:17</v>
      </c>
      <c r="B144" t="str">
        <v>Plum blossom (red)</v>
      </c>
      <c r="C144">
        <v>44245</v>
      </c>
      <c r="D144" t="str">
        <v>https://www.dropbox.com/scl/fi/asokyxz04uohrtagqsgp8/IMG_1740.JPG?rlkey=rc1bm68eg8vacp8umrtwq235b&amp;dl=0</v>
      </c>
      <c r="E144" t="str">
        <v>N/A</v>
      </c>
      <c r="F144" t="str">
        <v>N/A</v>
      </c>
      <c r="G144" t="str">
        <v>N/A</v>
      </c>
      <c r="H144" t="str">
        <f>IF(AND(OR(I144="L", I144="M"), OR(J144="H", J144="M"), OR(K144="H", K144="M")),"Y","N")</f>
        <v>N</v>
      </c>
      <c r="I144" t="str">
        <f>IF(AND(OR(J144="L", J144="M"), OR(K144="H", K144="M"), OR(L144="H", L144="M")),"Y","N")</f>
        <v>N</v>
      </c>
      <c r="J144" t="str">
        <f>IF(AND(OR(K144="L", K144="M"), OR(L144="H", L144="M"), OR(M144="H", M144="M")),"Y","N")</f>
        <v>N</v>
      </c>
      <c r="K144" t="str">
        <v>M</v>
      </c>
      <c r="L144" t="str">
        <v>L</v>
      </c>
      <c r="M144" t="str">
        <v>M</v>
      </c>
    </row>
    <row r="145">
      <c r="A145" t="str">
        <v>1 Thessalonians 5:16-18</v>
      </c>
      <c r="B145" t="str">
        <v>Japanese wisteria</v>
      </c>
      <c r="C145">
        <v>44246</v>
      </c>
      <c r="D145" t="str">
        <v>https://www.dropbox.com/scl/fi/agp31f2kcis04x03v7xag/IMG_1742.JPG?rlkey=3mo2o1aewrs9wnyu6y58p4m0l&amp;dl=0</v>
      </c>
      <c r="E145" t="str">
        <v>N/A</v>
      </c>
      <c r="F145" t="str">
        <v>N/A</v>
      </c>
      <c r="G145" t="str">
        <v>N/A</v>
      </c>
      <c r="H145" t="str">
        <v>N</v>
      </c>
      <c r="I145" t="str">
        <v>S1</v>
      </c>
      <c r="J145" t="str">
        <f>IF(AND(OR(K145="L", K145="M"), OR(L145="H", L145="M"), OR(M145="H", M145="M")),"Y","N")</f>
        <v>Y</v>
      </c>
      <c r="K145" t="str">
        <v>M</v>
      </c>
      <c r="L145" t="str">
        <v>M</v>
      </c>
      <c r="M145" t="str">
        <v>M</v>
      </c>
    </row>
    <row r="146">
      <c r="A146" t="str">
        <v>Numbers 14:8</v>
      </c>
      <c r="B146" t="str">
        <v>Crane</v>
      </c>
      <c r="C146">
        <v>44247</v>
      </c>
      <c r="D146" t="str">
        <v>https://www.dropbox.com/scl/fi/si1x6ckt67kubboj157nc/IMG_1743.JPG?rlkey=upormu07aaebuy1dxv4ok7jdo&amp;dl=0</v>
      </c>
      <c r="E146" t="str">
        <v>N/A</v>
      </c>
      <c r="F146" t="str">
        <v>N/A</v>
      </c>
      <c r="G146" t="str">
        <v>N/A</v>
      </c>
      <c r="H146" t="str">
        <v>N</v>
      </c>
      <c r="I146" t="str">
        <v>S1</v>
      </c>
      <c r="J146" t="str">
        <f>IF(AND(OR(K146="L", K146="M"), OR(L146="H", L146="M"), OR(M146="H", M146="M")),"Y","N")</f>
        <v>Y</v>
      </c>
      <c r="K146" t="str">
        <v>L</v>
      </c>
      <c r="L146" t="str">
        <v>M</v>
      </c>
      <c r="M146" t="str">
        <v>H</v>
      </c>
    </row>
    <row r="147">
      <c r="A147" t="str">
        <v>Psalms 42:1</v>
      </c>
      <c r="B147" t="str">
        <v>Pond view (picture)</v>
      </c>
      <c r="C147">
        <v>44248</v>
      </c>
      <c r="D147" t="str">
        <v>https://www.dropbox.com/scl/fi/w7uaqy5yylmxncubdh75x/IMG_1745.JPG?rlkey=j3yjxbdhxx0vkh04wojy06upl&amp;dl=0</v>
      </c>
      <c r="E147" t="str">
        <v>N/A</v>
      </c>
      <c r="F147" t="str">
        <v>N/A</v>
      </c>
      <c r="G147" t="str">
        <v>N/A</v>
      </c>
      <c r="H147" t="str">
        <v>N</v>
      </c>
      <c r="I147" t="str">
        <v>N</v>
      </c>
      <c r="J147" t="str">
        <f>IF(AND(OR(K147="L", K147="M"), OR(L147="H", L147="M"), OR(M147="H", M147="M")),"Y","N")</f>
        <v>Y</v>
      </c>
      <c r="K147" t="str">
        <v>L</v>
      </c>
      <c r="L147" t="str">
        <v>M</v>
      </c>
      <c r="M147" t="str">
        <v>M</v>
      </c>
    </row>
    <row r="148">
      <c r="A148" t="str">
        <v>Matthew 3:3</v>
      </c>
      <c r="B148" t="str">
        <v>Road &amp; sky view (picture)</v>
      </c>
      <c r="C148">
        <v>44248</v>
      </c>
      <c r="D148" t="str">
        <v>https://www.dropbox.com/scl/fi/8vh9h4xfl3wgb9tub5rmp/IMG_1744.JPG?rlkey=wobwdjtws0jooakvxh5qaq3cg&amp;dl=0</v>
      </c>
      <c r="E148" t="str">
        <v>早上和儿子跑步拍的景色配上经文和大家分享</v>
      </c>
      <c r="F148" t="str">
        <v>真好，天地相连！这个照片加上主的话，神在祂的创造里面是用衪的话托住万有，叫我们灵里得享受！希伯来書一章</v>
      </c>
      <c r="G148" t="str">
        <v>N/A</v>
      </c>
      <c r="H148" t="str">
        <v>N</v>
      </c>
      <c r="I148" t="str">
        <v>N</v>
      </c>
      <c r="J148" t="str">
        <f>IF(AND(OR(K148="L", K148="M"), OR(L148="H", L148="M"), OR(M148="H", M148="M")),"Y","N")</f>
        <v>Y</v>
      </c>
      <c r="K148" t="str">
        <v>L</v>
      </c>
      <c r="L148" t="str">
        <v>M</v>
      </c>
      <c r="M148" t="str">
        <v>M</v>
      </c>
    </row>
    <row r="149">
      <c r="A149" t="str">
        <v>Psalms 43:3</v>
      </c>
      <c r="B149" t="str">
        <v>Mountain hidden in the cloud</v>
      </c>
      <c r="C149">
        <v>44249</v>
      </c>
      <c r="D149" t="str">
        <v>https://www.dropbox.com/scl/fi/w746us8y0l1g0rvy3968w/IMG_1746.JPG?rlkey=37exxzi3tzsitmokut9e4owga&amp;dl=0</v>
      </c>
      <c r="E149" t="str">
        <v>N/A</v>
      </c>
      <c r="F149" t="str">
        <v>N/A</v>
      </c>
      <c r="G149" t="str">
        <v>N/A</v>
      </c>
      <c r="H149" t="str">
        <f>IF(AND(OR(I149="L", I149="M"), OR(J149="H", J149="M"), OR(K149="H", K149="M")),"Y","N")</f>
        <v>N</v>
      </c>
      <c r="I149" t="str">
        <f>IF(AND(OR(J149="L", J149="M"), OR(K149="H", K149="M"), OR(L149="H", L149="M")),"Y","N")</f>
        <v>N</v>
      </c>
      <c r="J149" t="str">
        <f>IF(AND(OR(K149="L", K149="M"), OR(L149="H", L149="M"), OR(M149="H", M149="M")),"Y","N")</f>
        <v>N</v>
      </c>
      <c r="K149" t="str">
        <v>L</v>
      </c>
      <c r="L149" t="str">
        <v>L</v>
      </c>
      <c r="M149" t="str">
        <v>M</v>
      </c>
    </row>
    <row r="150">
      <c r="A150" t="str">
        <v>Job 42:5</v>
      </c>
      <c r="B150" t="str">
        <v>Eagle in the rain</v>
      </c>
      <c r="C150">
        <v>44251</v>
      </c>
      <c r="D150" t="str">
        <v>https://www.dropbox.com/scl/fi/rwhr67197l6gcd8jdhyfh/IMG_1747.JPG?rlkey=hx1rkrua92egq5ym7a4qf2566&amp;dl=0</v>
      </c>
      <c r="E150" t="str">
        <v>N/A</v>
      </c>
      <c r="F150" t="str">
        <v>N/A</v>
      </c>
      <c r="G150" t="str">
        <v>N/A</v>
      </c>
      <c r="H150" t="str">
        <v>N</v>
      </c>
      <c r="I150" t="str">
        <v>S3</v>
      </c>
      <c r="J150" t="str">
        <f>IF(AND(OR(K150="L", K150="M"), OR(L150="H", L150="M"), OR(M150="H", M150="M")),"Y","N")</f>
        <v>Y</v>
      </c>
      <c r="K150" t="str">
        <v>L</v>
      </c>
      <c r="L150" t="str">
        <v>M</v>
      </c>
      <c r="M150" t="str">
        <v>M</v>
      </c>
    </row>
    <row r="151">
      <c r="A151" t="str">
        <v>Psalms 33:5</v>
      </c>
      <c r="B151" t="str">
        <v>Japanese wisteria</v>
      </c>
      <c r="C151">
        <v>44252</v>
      </c>
      <c r="D151" t="str">
        <v>https://www.dropbox.com/scl/fi/xrk5te30qb6gcrmz54wwv/IMG_1748.JPG?rlkey=da1jnjxmwycxf76x0pv5733id&amp;dl=0</v>
      </c>
      <c r="E151" t="str">
        <v>N/A</v>
      </c>
      <c r="F151" t="str">
        <v>N/A</v>
      </c>
      <c r="G151" t="str">
        <v>N/A</v>
      </c>
      <c r="H151" t="str">
        <v>N</v>
      </c>
      <c r="I151" t="str">
        <v>S3</v>
      </c>
      <c r="J151" t="str">
        <f>IF(AND(OR(K151="L", K151="M"), OR(L151="H", L151="M"), OR(M151="H", M151="M")),"Y","N")</f>
        <v>Y</v>
      </c>
      <c r="K151" t="str">
        <v>M</v>
      </c>
      <c r="L151" t="str">
        <v>M</v>
      </c>
      <c r="M151" t="str">
        <v>H</v>
      </c>
    </row>
    <row r="152">
      <c r="A152" t="str">
        <v>Psalms 121:1-2</v>
      </c>
      <c r="B152" t="str">
        <v>Mountain view</v>
      </c>
      <c r="C152">
        <v>44254</v>
      </c>
      <c r="D152" t="str">
        <v>https://www.dropbox.com/scl/fi/4up5au42yxci7gxadx88s/IMG_1750.JPG?rlkey=lvyowp8ki9bd9iwata7rtu9zt&amp;dl=0</v>
      </c>
      <c r="E152" t="str">
        <v>N/A</v>
      </c>
      <c r="F152" t="str">
        <v>N/A</v>
      </c>
      <c r="G152" t="str">
        <v>N/A</v>
      </c>
      <c r="H152" t="str">
        <f>IF(AND(OR(I152="L", I152="M"), OR(J152="H", J152="M"), OR(K152="H", K152="M")),"Y","N")</f>
        <v>N</v>
      </c>
      <c r="I152" t="str">
        <f>IF(AND(OR(J152="L", J152="M"), OR(K152="H", K152="M"), OR(L152="H", L152="M")),"Y","N")</f>
        <v>N</v>
      </c>
      <c r="J152" t="str">
        <f>IF(AND(OR(K152="L", K152="M"), OR(L152="H", L152="M"), OR(M152="H", M152="M")),"Y","N")</f>
        <v>N</v>
      </c>
      <c r="K152" t="str">
        <v>M</v>
      </c>
      <c r="L152" t="str">
        <v>L</v>
      </c>
      <c r="M152" t="str">
        <v>H</v>
      </c>
    </row>
    <row r="153">
      <c r="A153" t="str">
        <v>Psalms 91-12</v>
      </c>
      <c r="B153" t="str">
        <v>Mountain view</v>
      </c>
      <c r="C153">
        <v>44255</v>
      </c>
      <c r="D153" t="str">
        <v>https://www.dropbox.com/scl/fi/6ks7ls12jhps19bn1qknq/IMG_1751.JPG?rlkey=m2q88115m91ipl1jjckii53rg&amp;dl=0</v>
      </c>
      <c r="E153" t="str">
        <v>N/A</v>
      </c>
      <c r="F153" t="str">
        <v>一位八十高龄在LA的教会老姐妹对你書画有感，她母亲是我在上海时属灵的母亲，对我教导和裁培不浅！</v>
      </c>
      <c r="G153" t="str">
        <v>N/A</v>
      </c>
      <c r="H153" t="str">
        <f>IF(AND(OR(I153="L", I153="M"), OR(J153="H", J153="M"), OR(K153="H", K153="M")),"Y","N")</f>
        <v>N</v>
      </c>
      <c r="I153" t="str">
        <f>IF(AND(OR(J153="L", J153="M"), OR(K153="H", K153="M"), OR(L153="H", L153="M")),"Y","N")</f>
        <v>N</v>
      </c>
      <c r="J153" t="str">
        <f>IF(AND(OR(K153="L", K153="M"), OR(L153="H", L153="M"), OR(M153="H", M153="M")),"Y","N")</f>
        <v>N</v>
      </c>
      <c r="K153" t="str">
        <v>L</v>
      </c>
      <c r="L153" t="str">
        <v>L</v>
      </c>
      <c r="M153" t="str">
        <v>M</v>
      </c>
    </row>
    <row r="154">
      <c r="A154" t="str">
        <v>1 Peter 4:8</v>
      </c>
      <c r="B154" t="str">
        <v>Mountain view</v>
      </c>
      <c r="C154">
        <v>44262</v>
      </c>
      <c r="D154" t="str">
        <v>https://www.dropbox.com/scl/fi/gp96ok0yebyyby68h2mib/IMG_1752.JPG?rlkey=q3qr2qz0mbrdpec81r1cceha2&amp;dl=0</v>
      </c>
      <c r="E154" t="str">
        <v>N/A</v>
      </c>
      <c r="F154" t="str">
        <v>N/A</v>
      </c>
      <c r="G154" t="str">
        <v>N/A</v>
      </c>
      <c r="H154" t="str">
        <f>IF(AND(OR(I154="L", I154="M"), OR(J154="H", J154="M"), OR(K154="H", K154="M")),"Y","N")</f>
        <v>N</v>
      </c>
      <c r="I154" t="str">
        <f>IF(AND(OR(J154="L", J154="M"), OR(K154="H", K154="M"), OR(L154="H", L154="M")),"Y","N")</f>
        <v>N</v>
      </c>
      <c r="J154" t="str">
        <f>IF(AND(OR(K154="L", K154="M"), OR(L154="H", L154="M"), OR(M154="H", M154="M")),"Y","N")</f>
        <v>N</v>
      </c>
      <c r="K154" t="str">
        <v>L</v>
      </c>
      <c r="L154" t="str">
        <v>L</v>
      </c>
      <c r="M154" t="str">
        <v>M</v>
      </c>
    </row>
    <row r="155">
      <c r="A155" t="str">
        <v>Proverbs 31:10</v>
      </c>
      <c r="B155" t="str">
        <v>Rose &amp; Grapes</v>
      </c>
      <c r="C155">
        <v>44263</v>
      </c>
      <c r="D155" t="str">
        <v>https://www.dropbox.com/scl/fi/wa4afyahdsoadr1t59qgw/IMG_1753.JPG?rlkey=ijv8eh2121f6q9f7cbip1mji9&amp;dl=0</v>
      </c>
      <c r="E155" t="str">
        <v>N/A</v>
      </c>
      <c r="F155" t="str">
        <v>N/A</v>
      </c>
      <c r="G155" t="str">
        <v>N/A</v>
      </c>
      <c r="H155" t="str">
        <f>IF(AND(OR(I155="L", I155="M"), OR(J155="H", J155="M"), OR(K155="H", K155="M")),"Y","N")</f>
        <v>N</v>
      </c>
      <c r="I155" t="str">
        <f>IF(AND(OR(J155="L", J155="M"), OR(K155="H", K155="M"), OR(L155="H", L155="M")),"Y","N")</f>
        <v>N</v>
      </c>
      <c r="J155" t="str">
        <f>IF(AND(OR(K155="L", K155="M"), OR(L155="H", L155="M"), OR(M155="H", M155="M")),"Y","N")</f>
        <v>N</v>
      </c>
      <c r="K155" t="str">
        <v>L</v>
      </c>
      <c r="L155" t="str">
        <v>L</v>
      </c>
      <c r="M155" t="str">
        <v>H</v>
      </c>
    </row>
    <row r="156">
      <c r="A156" t="str">
        <v>Psalms 59:17</v>
      </c>
      <c r="B156" t="str">
        <v>Pine trees on the rock</v>
      </c>
      <c r="C156">
        <v>44266</v>
      </c>
      <c r="D156" t="str">
        <v>https://www.dropbox.com/scl/fi/hzg61wxzabeua8cgb3q3i/IMG_1754.JPG?rlkey=9fjh90d5dvntcx56bynz28mhu&amp;dl=0</v>
      </c>
      <c r="E156" t="str">
        <v>N/A</v>
      </c>
      <c r="F156" t="str">
        <v>N/A</v>
      </c>
      <c r="G156" t="str">
        <v>N/A</v>
      </c>
      <c r="H156" t="str">
        <v>N</v>
      </c>
      <c r="I156" t="str">
        <v>S2</v>
      </c>
      <c r="J156" t="str">
        <f>IF(AND(OR(K156="L", K156="M"), OR(L156="H", L156="M"), OR(M156="H", M156="M")),"Y","N")</f>
        <v>Y</v>
      </c>
      <c r="K156" t="str">
        <v>L</v>
      </c>
      <c r="L156" t="str">
        <v>M</v>
      </c>
      <c r="M156" t="str">
        <v>M</v>
      </c>
    </row>
    <row r="157">
      <c r="A157" t="str">
        <v>Psalms 7:11</v>
      </c>
      <c r="B157" t="str">
        <v>Eagle head</v>
      </c>
      <c r="C157">
        <v>44275</v>
      </c>
      <c r="D157" t="str">
        <v>https://www.dropbox.com/scl/fi/mr4ysv7xy1z3r9k0kbrd9/IMG_1758.JPG?rlkey=id7ore77pbwkplwpkqufkbdjp&amp;dl=0</v>
      </c>
      <c r="E157" t="str">
        <v>N/A</v>
      </c>
      <c r="F157" t="str">
        <v>N/A</v>
      </c>
      <c r="G157" t="str">
        <v>N/A</v>
      </c>
      <c r="H157" t="str">
        <f>IF(AND(OR(I157="L", I157="M"), OR(J157="H", J157="M"), OR(K157="H", K157="M")),"Y","N")</f>
        <v>N</v>
      </c>
      <c r="I157" t="str">
        <f>IF(AND(OR(J157="L", J157="M"), OR(K157="H", K157="M"), OR(L157="H", L157="M")),"Y","N")</f>
        <v>N</v>
      </c>
      <c r="J157" t="str">
        <f>IF(AND(OR(K157="L", K157="M"), OR(L157="H", L157="M"), OR(M157="H", M157="M")),"Y","N")</f>
        <v>N</v>
      </c>
      <c r="K157" t="str">
        <v>L</v>
      </c>
      <c r="L157" t="str">
        <v>M</v>
      </c>
      <c r="M157" t="str">
        <v>L</v>
      </c>
    </row>
    <row r="158">
      <c r="A158" t="str">
        <v>1 John 3:23</v>
      </c>
      <c r="B158" t="str">
        <v xml:space="preserve">A couple of eagle </v>
      </c>
      <c r="C158">
        <v>44278</v>
      </c>
      <c r="D158" t="str">
        <v>https://www.dropbox.com/scl/fi/c4w0bthgm7u85df5ddgr9/IMG_1760.JPG?rlkey=hnq6u97bbzktqet0uhtefux0y&amp;dl=0</v>
      </c>
      <c r="E158" t="str">
        <v>N/A</v>
      </c>
      <c r="F158" t="str">
        <v>N/A</v>
      </c>
      <c r="G158" t="str">
        <v>N/A</v>
      </c>
      <c r="H158" t="str">
        <v>N</v>
      </c>
      <c r="I158" t="str">
        <v>S1</v>
      </c>
      <c r="J158" t="str">
        <f>IF(AND(OR(K158="L", K158="M"), OR(L158="H", L158="M"), OR(M158="H", M158="M")),"Y","N")</f>
        <v>Y</v>
      </c>
      <c r="K158" t="str">
        <v>L</v>
      </c>
      <c r="L158" t="str">
        <v>M</v>
      </c>
      <c r="M158" t="str">
        <v>M</v>
      </c>
    </row>
    <row r="159">
      <c r="A159" t="str">
        <v>Isaiah 40:29</v>
      </c>
      <c r="B159" t="str">
        <v>Eagle</v>
      </c>
      <c r="C159">
        <v>44284</v>
      </c>
      <c r="D159" t="str">
        <v>https://www.dropbox.com/scl/fi/hgb8h0qg2wwh69q8a3cte/IMG_1762.JPG?rlkey=s112myybp4h0cw52ad3gjav9k&amp;dl=0</v>
      </c>
      <c r="E159" t="str">
        <v>N/A</v>
      </c>
      <c r="F159" t="str">
        <v>N/A</v>
      </c>
      <c r="G159" t="str">
        <v>N/A</v>
      </c>
      <c r="H159" t="str">
        <v>N</v>
      </c>
      <c r="I159" t="str">
        <v>S1</v>
      </c>
      <c r="J159" t="str">
        <f>IF(AND(OR(K159="L", K159="M"), OR(L159="H", L159="M"), OR(M159="H", M159="M")),"Y","N")</f>
        <v>Y</v>
      </c>
      <c r="K159" t="str">
        <v>L</v>
      </c>
      <c r="L159" t="str">
        <v>M</v>
      </c>
      <c r="M159" t="str">
        <v>M</v>
      </c>
    </row>
    <row r="160">
      <c r="A160" t="str">
        <v>John 11:25</v>
      </c>
      <c r="B160" t="str">
        <v>Eagle</v>
      </c>
      <c r="C160">
        <v>44290</v>
      </c>
      <c r="D160" t="str">
        <v>https://www.dropbox.com/scl/fi/fykoawg41diq2jjszio2o/IMG_1765.JPG?rlkey=1v64r03jatp66mwcpok7o1zjq&amp;dl=0</v>
      </c>
      <c r="E160" t="str">
        <v>N/A</v>
      </c>
      <c r="F160" t="str">
        <v>基督复活是基督教的中心，一切的源头，赞美的起点，所以我在这个主日没有把你的图画加上去，只有主的话，取用约翰福音11:25。</v>
      </c>
      <c r="G160" t="str">
        <v>今日刚巧是我生日，因主的复活才蒙重生，感谢赞美主！</v>
      </c>
      <c r="H160" t="str">
        <f>IF(AND(OR(I160="L", I160="M"), OR(J160="H", J160="M"), OR(K160="H", K160="M")),"Y","N")</f>
        <v>N</v>
      </c>
      <c r="I160" t="str">
        <f>IF(AND(OR(J160="L", J160="M"), OR(K160="H", K160="M"), OR(L160="H", L160="M")),"Y","N")</f>
        <v>N</v>
      </c>
      <c r="J160" t="str">
        <f>IF(AND(OR(K160="L", K160="M"), OR(L160="H", L160="M"), OR(M160="H", M160="M")),"Y","N")</f>
        <v>N</v>
      </c>
      <c r="K160" t="str">
        <v>M</v>
      </c>
      <c r="L160" t="str">
        <v>L</v>
      </c>
      <c r="M160" t="str">
        <v>M</v>
      </c>
    </row>
    <row r="161">
      <c r="A161" t="str">
        <v>Isaiah 40:31</v>
      </c>
      <c r="B161" t="str">
        <v>Eagle</v>
      </c>
      <c r="C161">
        <v>44292</v>
      </c>
      <c r="D161" t="str">
        <v>https://www.dropbox.com/scl/fi/bhsz16du0tdlt70ud2r3d/IMG_1766.JPG?rlkey=tyoxckzrncs1mot09c2wszgix&amp;dl=0</v>
      </c>
      <c r="E161" t="str">
        <v>N/A</v>
      </c>
      <c r="F161" t="str">
        <v>N/A</v>
      </c>
      <c r="G161" t="str">
        <v>N/A</v>
      </c>
      <c r="H161" t="str">
        <v>N</v>
      </c>
      <c r="I161" t="str">
        <v>S3</v>
      </c>
      <c r="J161" t="str">
        <f>IF(AND(OR(K161="L", K161="M"), OR(L161="H", L161="M"), OR(M161="H", M161="M")),"Y","N")</f>
        <v>Y</v>
      </c>
      <c r="K161" t="str">
        <v>L</v>
      </c>
      <c r="L161" t="str">
        <v>M</v>
      </c>
      <c r="M161" t="str">
        <v>M</v>
      </c>
    </row>
    <row r="162">
      <c r="A162" t="str">
        <v>Psalms 121:1-2</v>
      </c>
      <c r="B162" t="str">
        <v>Mountains</v>
      </c>
      <c r="C162">
        <v>44303</v>
      </c>
      <c r="D162" t="str">
        <v>https://www.dropbox.com/scl/fi/ebsp99exifrm2da42mwhw/IMG_1767.JPG?rlkey=tukl6lgygfzyy7kjw3egzlm48&amp;dl=0</v>
      </c>
      <c r="E162" t="str">
        <v>N/A</v>
      </c>
      <c r="F162" t="str">
        <v>N/A</v>
      </c>
      <c r="G162" t="str">
        <v>N/A</v>
      </c>
      <c r="H162" t="str">
        <f>IF(AND(OR(I162="L", I162="M"), OR(J162="H", J162="M"), OR(K162="H", K162="M")),"Y","N")</f>
        <v>N</v>
      </c>
      <c r="I162" t="str">
        <f>IF(AND(OR(J162="L", J162="M"), OR(K162="H", K162="M"), OR(L162="H", L162="M")),"Y","N")</f>
        <v>N</v>
      </c>
      <c r="J162" t="str">
        <f>IF(AND(OR(K162="L", K162="M"), OR(L162="H", L162="M"), OR(M162="H", M162="M")),"Y","N")</f>
        <v>N</v>
      </c>
      <c r="K162" t="str">
        <v>L</v>
      </c>
      <c r="L162" t="str">
        <v>L</v>
      </c>
      <c r="M162" t="str">
        <v>M</v>
      </c>
    </row>
    <row r="163">
      <c r="A163" t="str">
        <v>John 6:63</v>
      </c>
      <c r="B163" t="str">
        <v>Mountains and pine trees</v>
      </c>
      <c r="C163">
        <v>44310</v>
      </c>
      <c r="D163" t="str">
        <v>https://www.dropbox.com/scl/fi/r8zajlbfh9qsdgyjfuc0u/IMG_1768.JPG?rlkey=m9wcj0ol6ethn0lks6oxpdmaf&amp;dl=0</v>
      </c>
      <c r="E163" t="str">
        <v>N/A</v>
      </c>
      <c r="F163" t="str">
        <v>N/A</v>
      </c>
      <c r="G163" t="str">
        <v>N/A</v>
      </c>
      <c r="H163" t="str">
        <v>N</v>
      </c>
      <c r="I163" t="str">
        <v>S3</v>
      </c>
      <c r="J163" t="str">
        <f>IF(AND(OR(K163="L", K163="M"), OR(L163="H", L163="M"), OR(M163="H", M163="M")),"Y","N")</f>
        <v>Y</v>
      </c>
      <c r="K163" t="str">
        <v>L</v>
      </c>
      <c r="L163" t="str">
        <v>M</v>
      </c>
      <c r="M163" t="str">
        <v>M</v>
      </c>
    </row>
    <row r="164">
      <c r="A164" t="str">
        <v>Psalms 102:11-12</v>
      </c>
      <c r="B164" t="str">
        <v>Pine trees on the hill</v>
      </c>
      <c r="C164">
        <v>44314</v>
      </c>
      <c r="D164" t="str">
        <v>https://www.dropbox.com/scl/fi/6jjti682n1jeyeg8xtolt/IMG_1772.JPG?rlkey=jz5syzuyywy79c37sgrmtmbfl&amp;dl=0</v>
      </c>
      <c r="E164" t="str">
        <v>N/A</v>
      </c>
      <c r="F164" t="str">
        <v>N/A</v>
      </c>
      <c r="G164" t="str">
        <v>N/A</v>
      </c>
      <c r="H164" t="str">
        <v>N</v>
      </c>
      <c r="I164" t="str">
        <v>S1</v>
      </c>
      <c r="J164" t="str">
        <f>IF(AND(OR(K164="L", K164="M"), OR(L164="H", L164="M"), OR(M164="H", M164="M")),"Y","N")</f>
        <v>Y</v>
      </c>
      <c r="K164" t="str">
        <v>L</v>
      </c>
      <c r="L164" t="str">
        <v>M</v>
      </c>
      <c r="M164" t="str">
        <v>M</v>
      </c>
    </row>
    <row r="165">
      <c r="A165" t="str">
        <v>Psalms 112:1-3</v>
      </c>
      <c r="B165" t="str">
        <v>Fish (blue)</v>
      </c>
      <c r="C165">
        <v>44317</v>
      </c>
      <c r="D165" t="str">
        <v>https://www.dropbox.com/scl/fi/o26cmhx45qvxcoz6336ip/IMG_1771.JPG?rlkey=5sg3gtf58are0pmg883dhzney&amp;dl=0</v>
      </c>
      <c r="E165" t="str">
        <v>N/A</v>
      </c>
      <c r="F165" t="str">
        <v>N/A</v>
      </c>
      <c r="G165" t="str">
        <v>N/A</v>
      </c>
      <c r="H165" t="str">
        <f>IF(AND(OR(I165="L", I165="M"), OR(J165="H", J165="M"), OR(K165="H", K165="M")),"Y","N")</f>
        <v>N</v>
      </c>
      <c r="I165" t="str">
        <f>IF(AND(OR(J165="L", J165="M"), OR(K165="H", K165="M"), OR(L165="H", L165="M")),"Y","N")</f>
        <v>N</v>
      </c>
      <c r="J165" t="str">
        <f>IF(AND(OR(K165="L", K165="M"), OR(L165="H", L165="M"), OR(M165="H", M165="M")),"Y","N")</f>
        <v>N</v>
      </c>
      <c r="K165" t="str">
        <v>L</v>
      </c>
      <c r="L165" t="str">
        <v>L</v>
      </c>
      <c r="M165" t="str">
        <v>H</v>
      </c>
    </row>
    <row r="166">
      <c r="A166" t="str">
        <v>Proverbs 31:10-12, 28-29</v>
      </c>
      <c r="B166" t="str">
        <v>Swan mom with babies</v>
      </c>
      <c r="C166">
        <v>44324</v>
      </c>
      <c r="D166" t="str">
        <v>https://www.dropbox.com/scl/fi/fnslkanl5yh3zi35u1znl/IMG_1775.JPG?rlkey=pnat0k0eslzjuqy4ok0lu0a3w&amp;dl=0</v>
      </c>
      <c r="E166" t="str">
        <v>N/A</v>
      </c>
      <c r="F166" t="str">
        <v>N/A</v>
      </c>
      <c r="G166" t="str">
        <v>N/A</v>
      </c>
      <c r="H166" t="str">
        <v>N</v>
      </c>
      <c r="I166" t="str">
        <v>S1</v>
      </c>
      <c r="J166" t="str">
        <f>IF(AND(OR(K166="L", K166="M"), OR(L166="H", L166="M"), OR(M166="H", M166="M")),"Y","N")</f>
        <v>Y</v>
      </c>
      <c r="K166" t="str">
        <v>L</v>
      </c>
      <c r="L166" t="str">
        <v>M</v>
      </c>
      <c r="M166" t="str">
        <v>M</v>
      </c>
    </row>
    <row r="167">
      <c r="A167" t="str">
        <v>Ephesians 6:2</v>
      </c>
      <c r="B167" t="str">
        <v>Rose (purple)</v>
      </c>
      <c r="C167">
        <v>44325</v>
      </c>
      <c r="D167" t="str">
        <v>https://www.dropbox.com/scl/fi/sd3iiq2unac10ttgunrqp/IMG_1777.JPG?rlkey=qv8q18olntab7r5a0a20mw00c&amp;dl=0</v>
      </c>
      <c r="E167" t="str">
        <v>N/A</v>
      </c>
      <c r="F167" t="str">
        <v>N/A</v>
      </c>
      <c r="G167" t="str">
        <v>N/A</v>
      </c>
      <c r="H167" t="str">
        <f>IF(AND(OR(I167="L", I167="M"), OR(J167="H", J167="M"), OR(K167="H", K167="M")),"Y","N")</f>
        <v>N</v>
      </c>
      <c r="I167" t="str">
        <f>IF(AND(OR(J167="L", J167="M"), OR(K167="H", K167="M"), OR(L167="H", L167="M")),"Y","N")</f>
        <v>N</v>
      </c>
      <c r="J167" t="str">
        <f>IF(AND(OR(K167="L", K167="M"), OR(L167="H", L167="M"), OR(M167="H", M167="M")),"Y","N")</f>
        <v>N</v>
      </c>
      <c r="K167" t="str">
        <v>L</v>
      </c>
      <c r="L167" t="str">
        <v>L</v>
      </c>
      <c r="M167" t="str">
        <v>M</v>
      </c>
    </row>
    <row r="168">
      <c r="A168" t="str">
        <v>Psalms 107:1</v>
      </c>
      <c r="B168" t="str">
        <v>Magnolia</v>
      </c>
      <c r="C168">
        <v>44332</v>
      </c>
      <c r="D168" t="str">
        <v>https://www.dropbox.com/scl/fi/6grx99oyr5x8dqzrnd1gs/IMG_1776.JPG?rlkey=1wx7o0y3pwoyl8nlos3brh0ju&amp;dl=0</v>
      </c>
      <c r="E168" t="str">
        <v>N/A</v>
      </c>
      <c r="F168" t="str">
        <v>N/A</v>
      </c>
      <c r="G168" t="str">
        <v>N/A</v>
      </c>
      <c r="H168" t="str">
        <v>N</v>
      </c>
      <c r="I168" t="str">
        <v>S1</v>
      </c>
      <c r="J168" t="str">
        <f>IF(AND(OR(K168="L", K168="M"), OR(L168="H", L168="M"), OR(M168="H", M168="M")),"Y","N")</f>
        <v>Y</v>
      </c>
      <c r="K168" t="str">
        <v>L</v>
      </c>
      <c r="L168" t="str">
        <v>M</v>
      </c>
      <c r="M168" t="str">
        <v>H</v>
      </c>
    </row>
    <row r="169">
      <c r="A169" t="str">
        <v>Proverbs 22:4</v>
      </c>
      <c r="B169" t="str">
        <v>Grapes</v>
      </c>
      <c r="C169">
        <v>44352</v>
      </c>
      <c r="D169" t="str">
        <v>https://www.dropbox.com/scl/fi/v0muhh5et755jtto2y7e3/IMG_1780.JPG?rlkey=gyrz3h7na76fc94lxrszitvcl&amp;dl=0</v>
      </c>
      <c r="E169" t="str">
        <v>N/A</v>
      </c>
      <c r="F169" t="str">
        <v>N/A</v>
      </c>
      <c r="G169" t="str">
        <v>N/A</v>
      </c>
      <c r="H169" t="str">
        <f>IF(AND(OR(I169="L", I169="M"), OR(J169="H", J169="M"), OR(K169="H", K169="M")),"Y","N")</f>
        <v>N</v>
      </c>
      <c r="I169" t="str">
        <f>IF(AND(OR(J169="L", J169="M"), OR(K169="H", K169="M"), OR(L169="H", L169="M")),"Y","N")</f>
        <v>N</v>
      </c>
      <c r="J169" t="str">
        <f>IF(AND(OR(K169="L", K169="M"), OR(L169="H", L169="M"), OR(M169="H", M169="M")),"Y","N")</f>
        <v>N</v>
      </c>
      <c r="K169" t="str">
        <v>M</v>
      </c>
      <c r="L169" t="str">
        <v>L</v>
      </c>
      <c r="M169" t="str">
        <v>H</v>
      </c>
    </row>
    <row r="170">
      <c r="A170" t="str">
        <v>Proverbs 16:20</v>
      </c>
      <c r="B170" t="str">
        <v>Lotus</v>
      </c>
      <c r="C170">
        <v>44381</v>
      </c>
      <c r="D170" t="str">
        <v>https://www.dropbox.com/scl/fi/smwkw73msu4vw6y5kmlxy/IMG_1787.JPG?rlkey=vun3zaq6fqvdy7h99jq56sqx6&amp;dl=0</v>
      </c>
      <c r="E170" t="str">
        <v>N/A</v>
      </c>
      <c r="F170" t="str">
        <v>N/A</v>
      </c>
      <c r="G170" t="str">
        <v>N/A</v>
      </c>
      <c r="H170" t="str">
        <f>IF(AND(OR(I170="L", I170="M"), OR(J170="H", J170="M"), OR(K170="H", K170="M")),"Y","N")</f>
        <v>N</v>
      </c>
      <c r="I170" t="str">
        <f>IF(AND(OR(J170="L", J170="M"), OR(K170="H", K170="M"), OR(L170="H", L170="M")),"Y","N")</f>
        <v>N</v>
      </c>
      <c r="J170" t="str">
        <f>IF(AND(OR(K170="L", K170="M"), OR(L170="H", L170="M"), OR(M170="H", M170="M")),"Y","N")</f>
        <v>N</v>
      </c>
      <c r="K170" t="str">
        <v>M</v>
      </c>
      <c r="L170" t="str">
        <v>L</v>
      </c>
      <c r="M170" t="str">
        <v>M</v>
      </c>
    </row>
    <row r="171">
      <c r="A171" t="str">
        <v>John 8:12</v>
      </c>
      <c r="B171" t="str">
        <v>Mountain, pine, and sun</v>
      </c>
      <c r="C171">
        <v>44387</v>
      </c>
      <c r="D171" t="str">
        <v>https://www.dropbox.com/scl/fi/4hef6we3u8teri8nqlgrs/IMG_1788.JPG?rlkey=6lgxbifw2153fu5huvapqtcbm&amp;dl=0</v>
      </c>
      <c r="E171" t="str">
        <v>N/A</v>
      </c>
      <c r="F171" t="str">
        <v>N/A</v>
      </c>
      <c r="G171" t="str">
        <v>N/A</v>
      </c>
      <c r="H171" t="str">
        <v>N</v>
      </c>
      <c r="I171" t="str">
        <v>S3</v>
      </c>
      <c r="J171" t="str">
        <f>IF(AND(OR(K171="L", K171="M"), OR(L171="H", L171="M"), OR(M171="H", M171="M")),"Y","N")</f>
        <v>Y</v>
      </c>
      <c r="K171" t="str">
        <v>L</v>
      </c>
      <c r="L171" t="str">
        <v>M</v>
      </c>
      <c r="M171" t="str">
        <v>H</v>
      </c>
    </row>
    <row r="172">
      <c r="A172" t="str">
        <v>Proverbs 17:6</v>
      </c>
      <c r="B172" t="str">
        <v>Peaches</v>
      </c>
      <c r="C172">
        <v>44401</v>
      </c>
      <c r="D172" t="str">
        <v>https://www.dropbox.com/scl/fi/yjbe0guzadko1k5nqnaj7/IMG_1792.JPG?rlkey=49ehhjthjslyqky8jy872o1qb&amp;dl=0</v>
      </c>
      <c r="E172" t="str">
        <v>N/A</v>
      </c>
      <c r="F172" t="str">
        <v>N/A</v>
      </c>
      <c r="G172" t="str">
        <v>N/A</v>
      </c>
      <c r="H172" t="str">
        <v>N</v>
      </c>
      <c r="I172" t="str">
        <v>S1</v>
      </c>
      <c r="J172" t="str">
        <f>IF(AND(OR(K172="L", K172="M"), OR(L172="H", L172="M"), OR(M172="H", M172="M")),"Y","N")</f>
        <v>Y</v>
      </c>
      <c r="K172" t="str">
        <v>L</v>
      </c>
      <c r="L172" t="str">
        <v>M</v>
      </c>
      <c r="M172" t="str">
        <v>M</v>
      </c>
    </row>
    <row r="173">
      <c r="A173" t="str">
        <v>Psalms 1:3</v>
      </c>
      <c r="B173" t="str">
        <v>Cherries</v>
      </c>
      <c r="C173">
        <v>44402</v>
      </c>
      <c r="D173" t="str">
        <v>https://www.dropbox.com/scl/fi/tqgciz86txwci1tj4mh7b/IMG_1793.JPG?rlkey=ou8h7mnjklbm7fjfvs2efpq5z&amp;dl=0</v>
      </c>
      <c r="E173" t="str">
        <v>N/A</v>
      </c>
      <c r="F173" t="str">
        <v>N/A</v>
      </c>
      <c r="G173" t="str">
        <v>N/A</v>
      </c>
      <c r="H173" t="str">
        <f>IF(AND(OR(I173="L", I173="M"), OR(J173="H", J173="M"), OR(K173="H", K173="M")),"Y","N")</f>
        <v>N</v>
      </c>
      <c r="I173" t="str">
        <f>IF(AND(OR(J173="L", J173="M"), OR(K173="H", K173="M"), OR(L173="H", L173="M")),"Y","N")</f>
        <v>N</v>
      </c>
      <c r="J173" t="str">
        <f>IF(AND(OR(K173="L", K173="M"), OR(L173="H", L173="M"), OR(M173="H", M173="M")),"Y","N")</f>
        <v>N</v>
      </c>
      <c r="K173" t="str">
        <v>L</v>
      </c>
      <c r="L173" t="str">
        <v>L</v>
      </c>
      <c r="M173" t="str">
        <v>M</v>
      </c>
    </row>
    <row r="174">
      <c r="A174" t="str">
        <v>Deuteronomy 11:27</v>
      </c>
      <c r="B174" t="str">
        <v>Chrysanthemum</v>
      </c>
      <c r="C174">
        <v>44408</v>
      </c>
      <c r="D174" t="str">
        <v>https://www.dropbox.com/scl/fi/gud0m4l9rujxta6ok78um/IMG_1795.JPG?rlkey=4wq79jlipsalg9y9sctlo32e0&amp;dl=0</v>
      </c>
      <c r="E174" t="str">
        <v>N/A</v>
      </c>
      <c r="F174" t="str">
        <v>N/A</v>
      </c>
      <c r="G174" t="str">
        <v>N/A</v>
      </c>
      <c r="H174" t="str">
        <v>N</v>
      </c>
      <c r="I174" t="str">
        <v>S2</v>
      </c>
      <c r="J174" t="str">
        <f>IF(AND(OR(K174="L", K174="M"), OR(L174="H", L174="M"), OR(M174="H", M174="M")),"Y","N")</f>
        <v>Y</v>
      </c>
      <c r="K174" t="str">
        <v>L</v>
      </c>
      <c r="L174" t="str">
        <v>M</v>
      </c>
      <c r="M174" t="str">
        <v>H</v>
      </c>
    </row>
    <row r="175">
      <c r="A175" t="str">
        <v>Deuteronomy 11:1</v>
      </c>
      <c r="B175" t="str">
        <v>Chrysanthemum</v>
      </c>
      <c r="C175">
        <v>44408</v>
      </c>
      <c r="D175" t="str">
        <v>https://www.dropbox.com/scl/fi/jpm4kvoo1pqmrmthsibcq/IMG_1796.JPG?rlkey=36ok09mnctyi99z34j6u1dets&amp;dl=0</v>
      </c>
      <c r="E175" t="str">
        <v>N/A</v>
      </c>
      <c r="F175" t="str">
        <v>N/A</v>
      </c>
      <c r="G175" t="str">
        <v>N/A</v>
      </c>
      <c r="H175" t="str">
        <v>N</v>
      </c>
      <c r="I175" t="str">
        <v>S2</v>
      </c>
      <c r="J175" t="str">
        <f>IF(AND(OR(K175="L", K175="M"), OR(L175="H", L175="M"), OR(M175="H", M175="M")),"Y","N")</f>
        <v>Y</v>
      </c>
      <c r="K175" t="str">
        <v>L</v>
      </c>
      <c r="L175" t="str">
        <v>M</v>
      </c>
      <c r="M175" t="str">
        <v>M</v>
      </c>
    </row>
    <row r="176">
      <c r="A176" t="str">
        <v>Deuteronomy 4:40</v>
      </c>
      <c r="B176" t="str">
        <v>Mountains &amp; pine trees</v>
      </c>
      <c r="C176">
        <v>44422</v>
      </c>
      <c r="D176" t="str">
        <v>https://www.dropbox.com/scl/fi/k8txua5ccv0jpsry6g99w/IMG_1799.JPG?rlkey=7a2ls646asmhsnbmjeghcu499&amp;dl=0</v>
      </c>
      <c r="E176" t="str">
        <v>N/A</v>
      </c>
      <c r="F176" t="str">
        <v>N/A</v>
      </c>
      <c r="G176" t="str">
        <v>东南亚的聖徒已经收到主日灵粮[Worship]</v>
      </c>
      <c r="H176" t="str">
        <f>IF(AND(OR(I176="L", I176="M"), OR(J176="H", J176="M"), OR(K176="H", K176="M")),"Y","N")</f>
        <v>N</v>
      </c>
      <c r="I176" t="str">
        <f>IF(AND(OR(J176="L", J176="M"), OR(K176="H", K176="M"), OR(L176="H", L176="M")),"Y","N")</f>
        <v>N</v>
      </c>
      <c r="J176" t="str">
        <f>IF(AND(OR(K176="L", K176="M"), OR(L176="H", L176="M"), OR(M176="H", M176="M")),"Y","N")</f>
        <v>N</v>
      </c>
      <c r="K176" t="str">
        <v>L</v>
      </c>
      <c r="L176" t="str">
        <v>L</v>
      </c>
      <c r="M176" t="str">
        <v>M</v>
      </c>
    </row>
    <row r="177">
      <c r="A177" t="str">
        <v>Hebrews 12:14</v>
      </c>
      <c r="B177" t="str">
        <v>Gold fish</v>
      </c>
      <c r="C177">
        <v>44429</v>
      </c>
      <c r="D177" t="str">
        <v>https://www.dropbox.com/scl/fi/u4m8w7b9hgenbxxunbwbx/IMG_1802.JPG?rlkey=o5msvoguszsh5wg2xi2bo3qph&amp;dl=0</v>
      </c>
      <c r="E177" t="str">
        <v>N/A</v>
      </c>
      <c r="F177" t="str">
        <v>N/A</v>
      </c>
      <c r="G177" t="str">
        <v>N/A</v>
      </c>
      <c r="H177" t="str">
        <v>N</v>
      </c>
      <c r="I177" t="str">
        <v>S3</v>
      </c>
      <c r="J177" t="str">
        <f>IF(AND(OR(K177="L", K177="M"), OR(L177="H", L177="M"), OR(M177="H", M177="M")),"Y","N")</f>
        <v>Y</v>
      </c>
      <c r="K177" t="str">
        <v>L</v>
      </c>
      <c r="L177" t="str">
        <v>M</v>
      </c>
      <c r="M177" t="str">
        <v>M</v>
      </c>
    </row>
    <row r="178">
      <c r="A178" t="str">
        <v>Deuteronomy 6:5</v>
      </c>
      <c r="B178" t="str">
        <v>Pomegranate</v>
      </c>
      <c r="C178">
        <v>44430</v>
      </c>
      <c r="D178" t="str">
        <v>https://www.dropbox.com/scl/fi/qr6y1q7qyotg138js3stb/IMG_1803.JPG?rlkey=i25724ydpj8jt52jo85151zw4&amp;dl=0</v>
      </c>
      <c r="E178" t="str">
        <v>N/A</v>
      </c>
      <c r="F178" t="str">
        <v>N/A</v>
      </c>
      <c r="G178" t="str">
        <v>N/A</v>
      </c>
      <c r="H178" t="str">
        <v>N</v>
      </c>
      <c r="I178" t="str">
        <v>S2</v>
      </c>
      <c r="J178" t="str">
        <f>IF(AND(OR(K178="L", K178="M"), OR(L178="H", L178="M"), OR(M178="H", M178="M")),"Y","N")</f>
        <v>Y</v>
      </c>
      <c r="K178" t="str">
        <v>M</v>
      </c>
      <c r="L178" t="str">
        <v>M</v>
      </c>
      <c r="M178" t="str">
        <v>H</v>
      </c>
    </row>
    <row r="179">
      <c r="A179" t="str">
        <v>Deuteronomy 6:4</v>
      </c>
      <c r="B179" t="str">
        <v>Chrysanthemum</v>
      </c>
      <c r="C179">
        <v>44437</v>
      </c>
      <c r="D179" t="str">
        <v>https://www.dropbox.com/scl/fi/vrjkkxs6956xny4rlr92j/IMG_1807.JPG?rlkey=jrrlfjaggyj3cbb7jr5sayyke&amp;dl=0</v>
      </c>
      <c r="E179" t="str">
        <v>N/A</v>
      </c>
      <c r="F179" t="str">
        <v>N/A</v>
      </c>
      <c r="G179" t="str">
        <v>N/A</v>
      </c>
      <c r="H179" t="str">
        <f>IF(AND(OR(I179="L", I179="M"), OR(J179="H", J179="M"), OR(K179="H", K179="M")),"Y","N")</f>
        <v>N</v>
      </c>
      <c r="I179" t="str">
        <f>IF(AND(OR(J179="L", J179="M"), OR(K179="H", K179="M"), OR(L179="H", L179="M")),"Y","N")</f>
        <v>N</v>
      </c>
      <c r="J179" t="str">
        <f>IF(AND(OR(K179="L", K179="M"), OR(L179="H", L179="M"), OR(M179="H", M179="M")),"Y","N")</f>
        <v>N</v>
      </c>
      <c r="K179" t="str">
        <v>L</v>
      </c>
      <c r="L179" t="str">
        <v>L</v>
      </c>
      <c r="M179" t="str">
        <v>H</v>
      </c>
    </row>
    <row r="180">
      <c r="A180" t="str">
        <v>John 15:5</v>
      </c>
      <c r="B180" t="str">
        <v>Grapes (purple)</v>
      </c>
      <c r="C180">
        <v>44444</v>
      </c>
      <c r="D180" t="str">
        <v>https://www.dropbox.com/scl/fi/hzjctfhsxw01vkhvnbfgv/IMG_1808.JPG?rlkey=nfc61r15zfrd05jou0flgj44d&amp;dl=0</v>
      </c>
      <c r="E180" t="str">
        <v>N/A</v>
      </c>
      <c r="F180" t="str">
        <v>https://www.dropbox.com/scl/fi/zb9ontcauxguolvod7w1a/IMG_1809.JPG?rlkey=dwwmptqgt8ve3pwsgwykcxkcy&amp;dl=0</v>
      </c>
      <c r="G180" t="str">
        <v>N/A</v>
      </c>
      <c r="H180" t="str">
        <f>IF(AND(OR(I180="L", I180="M"), OR(J180="H", J180="M"), OR(K180="H", K180="M")),"Y","N")</f>
        <v>N</v>
      </c>
      <c r="I180" t="str">
        <f>IF(AND(OR(J180="L", J180="M"), OR(K180="H", K180="M"), OR(L180="H", L180="M")),"Y","N")</f>
        <v>N</v>
      </c>
      <c r="J180" t="str">
        <f>IF(AND(OR(K180="L", K180="M"), OR(L180="H", L180="M"), OR(M180="H", M180="M")),"Y","N")</f>
        <v>N</v>
      </c>
      <c r="K180" t="str">
        <v>M</v>
      </c>
      <c r="L180" t="str">
        <v>L</v>
      </c>
      <c r="M180" t="str">
        <v>H</v>
      </c>
    </row>
    <row r="181">
      <c r="A181" t="str">
        <v>John 15:1-2</v>
      </c>
      <c r="B181" t="str">
        <v>Grapes (red)</v>
      </c>
      <c r="C181">
        <v>44464</v>
      </c>
      <c r="D181" t="str">
        <v>https://www.dropbox.com/scl/fi/34qlggt18m1cgag569sb1/IMG_1813.JPG?rlkey=g5nyyxkw92j1ykmcj3munjtuv&amp;dl=0</v>
      </c>
      <c r="E181" t="str">
        <v>N/A</v>
      </c>
      <c r="F181" t="str">
        <v>N/A</v>
      </c>
      <c r="G181" t="str">
        <v>N/A</v>
      </c>
      <c r="H181" t="str">
        <v>N</v>
      </c>
      <c r="I181" t="str">
        <v>S2</v>
      </c>
      <c r="J181" t="str">
        <f>IF(AND(OR(K181="L", K181="M"), OR(L181="H", L181="M"), OR(M181="H", M181="M")),"Y","N")</f>
        <v>Y</v>
      </c>
      <c r="K181" t="str">
        <v>M</v>
      </c>
      <c r="L181" t="str">
        <v>M</v>
      </c>
      <c r="M181" t="str">
        <v>H</v>
      </c>
    </row>
    <row r="182">
      <c r="A182" t="str">
        <v>2 Corinthians 2:15</v>
      </c>
      <c r="B182" t="str">
        <v>Epiphyllum (purple)</v>
      </c>
      <c r="C182">
        <v>44471</v>
      </c>
      <c r="D182" t="str">
        <v>https://www.dropbox.com/scl/fi/i3g5s63s71jph7cl87i3w/IMG_1815.JPG?rlkey=jgwq06caaklgx7x8lc9u3wl8z&amp;dl=0</v>
      </c>
      <c r="E182" t="str">
        <v>N/A</v>
      </c>
      <c r="F182" t="str">
        <v>N/A</v>
      </c>
      <c r="G182" t="str">
        <v>N/A</v>
      </c>
      <c r="H182" t="str">
        <v>N</v>
      </c>
      <c r="I182" t="str">
        <v>S2</v>
      </c>
      <c r="J182" t="str">
        <f>IF(AND(OR(K182="L", K182="M"), OR(L182="H", L182="M"), OR(M182="H", M182="M")),"Y","N")</f>
        <v>Y</v>
      </c>
      <c r="K182" t="str">
        <v>M</v>
      </c>
      <c r="L182" t="str">
        <v>M</v>
      </c>
      <c r="M182" t="str">
        <v>H</v>
      </c>
    </row>
    <row r="183">
      <c r="A183" t="str">
        <v>Psalms 42:1-3</v>
      </c>
      <c r="B183" t="str">
        <v xml:space="preserve">Deers </v>
      </c>
      <c r="C183">
        <v>44476</v>
      </c>
      <c r="D183" t="str">
        <v>https://www.dropbox.com/scl/fi/knfx60t31qhw4bo90ulac/IMG_1817.JPG?rlkey=e13vb7lo1jxe0ow97p4xyuijn&amp;dl=0</v>
      </c>
      <c r="E183" t="str">
        <v>N/A</v>
      </c>
      <c r="F183" t="str">
        <v>N/A</v>
      </c>
      <c r="G183" t="str">
        <v>N/A</v>
      </c>
      <c r="H183" t="str">
        <f>IF(AND(OR(I183="L", I183="M"), OR(J183="H", J183="M"), OR(K183="H", K183="M")),"Y","N")</f>
        <v>N</v>
      </c>
      <c r="I183" t="str">
        <f>IF(AND(OR(J183="L", J183="M"), OR(K183="H", K183="M"), OR(L183="H", L183="M")),"Y","N")</f>
        <v>N</v>
      </c>
      <c r="J183" t="str">
        <f>IF(AND(OR(K183="L", K183="M"), OR(L183="H", L183="M"), OR(M183="H", M183="M")),"Y","N")</f>
        <v>N</v>
      </c>
      <c r="K183" t="str">
        <v>L</v>
      </c>
      <c r="L183" t="str">
        <v>M</v>
      </c>
      <c r="M183" t="str">
        <v>L</v>
      </c>
    </row>
    <row r="184">
      <c r="A184" t="str">
        <v>Psalms 93:3-4</v>
      </c>
      <c r="B184" t="str">
        <v>Waterfall</v>
      </c>
      <c r="C184">
        <v>44478</v>
      </c>
      <c r="D184" t="str">
        <v>https://www.dropbox.com/scl/fi/cyyczyktpp76yeszj29nl/IMG_1818.JPG?rlkey=wz6p8j0cvmkipiznh6u655s32&amp;dl=0</v>
      </c>
      <c r="E184" t="str">
        <v>N/A</v>
      </c>
      <c r="F184" t="str">
        <v>N/A</v>
      </c>
      <c r="G184" t="str">
        <v>N/A</v>
      </c>
      <c r="H184" t="str">
        <f>IF(AND(OR(I184="L", I184="M"), OR(J184="H", J184="M"), OR(K184="H", K184="M")),"Y","N")</f>
        <v>N</v>
      </c>
      <c r="I184" t="str">
        <f>IF(AND(OR(J184="L", J184="M"), OR(K184="H", K184="M"), OR(L184="H", L184="M")),"Y","N")</f>
        <v>N</v>
      </c>
      <c r="J184" t="str">
        <f>IF(AND(OR(K184="L", K184="M"), OR(L184="H", L184="M"), OR(M184="H", M184="M")),"Y","N")</f>
        <v>N</v>
      </c>
      <c r="K184" t="str">
        <v>L</v>
      </c>
      <c r="L184" t="str">
        <v>L</v>
      </c>
      <c r="M184" t="str">
        <v>L</v>
      </c>
    </row>
    <row r="185">
      <c r="A185" t="str">
        <v>Joshua 24:15</v>
      </c>
      <c r="B185" t="str">
        <v>Palm trees, bamboos, moon, and home</v>
      </c>
      <c r="C185">
        <v>44500</v>
      </c>
      <c r="D185" t="str">
        <v>https://www.dropbox.com/scl/fi/9ot9vp94cxnezjd3lm73w/IMG_1822.JPG?rlkey=4ewezaxzjraubv18cv5gl0ecv&amp;dl=0</v>
      </c>
      <c r="E185" t="str">
        <v>N/A</v>
      </c>
      <c r="F185" t="str">
        <v>N/A</v>
      </c>
      <c r="G185" t="str">
        <v>N/A</v>
      </c>
      <c r="H185" t="str">
        <f>IF(AND(OR(I185="L", I185="M"), OR(J185="H", J185="M"), OR(K185="H", K185="M")),"Y","N")</f>
        <v>N</v>
      </c>
      <c r="I185" t="str">
        <f>IF(AND(OR(J185="L", J185="M"), OR(K185="H", K185="M"), OR(L185="H", L185="M")),"Y","N")</f>
        <v>N</v>
      </c>
      <c r="J185" t="str">
        <f>IF(AND(OR(K185="L", K185="M"), OR(L185="H", L185="M"), OR(M185="H", M185="M")),"Y","N")</f>
        <v>N</v>
      </c>
      <c r="K185" t="str">
        <v>L</v>
      </c>
      <c r="L185" t="str">
        <v>L</v>
      </c>
      <c r="M185" t="str">
        <v>H</v>
      </c>
    </row>
    <row r="186">
      <c r="A186" t="str">
        <v>John 15:7</v>
      </c>
      <c r="B186" t="str">
        <v>Grapes</v>
      </c>
      <c r="C186">
        <v>44513</v>
      </c>
      <c r="D186" t="str">
        <v>https://www.dropbox.com/scl/fi/g8fja7apqzuoxa3az6hm9/IMG_1825.JPG?rlkey=x69ljy74c4akfqrspw771ro7m&amp;dl=0</v>
      </c>
      <c r="E186" t="str">
        <v>N/A</v>
      </c>
      <c r="F186" t="str">
        <v>N/A</v>
      </c>
      <c r="G186" t="str">
        <v>N/A</v>
      </c>
      <c r="H186" t="str">
        <f>IF(AND(OR(I186="L", I186="M"), OR(J186="H", J186="M"), OR(K186="H", K186="M")),"Y","N")</f>
        <v>N</v>
      </c>
      <c r="I186" t="str">
        <f>IF(AND(OR(J186="L", J186="M"), OR(K186="H", K186="M"), OR(L186="H", L186="M")),"Y","N")</f>
        <v>N</v>
      </c>
      <c r="J186" t="str">
        <f>IF(AND(OR(K186="L", K186="M"), OR(L186="H", L186="M"), OR(M186="H", M186="M")),"Y","N")</f>
        <v>N</v>
      </c>
      <c r="K186" t="str">
        <v>M</v>
      </c>
      <c r="L186" t="str">
        <v>L</v>
      </c>
      <c r="M186" t="str">
        <v>H</v>
      </c>
    </row>
    <row r="187">
      <c r="A187" t="str">
        <v>Ezekiel 17:24</v>
      </c>
      <c r="B187" t="str">
        <v>Trees</v>
      </c>
      <c r="C187">
        <v>44513</v>
      </c>
      <c r="D187" t="str">
        <v>https://www.dropbox.com/scl/fi/sc03z8p7opi6t0ax08y35/IMG_1826.JPG?rlkey=lpookln9ulo2l15xv4ckcgdnp&amp;dl=0</v>
      </c>
      <c r="E187" t="str">
        <v>N/A</v>
      </c>
      <c r="F187" t="str">
        <v>N/A</v>
      </c>
      <c r="G187" t="str">
        <v>N/A</v>
      </c>
      <c r="H187" t="str">
        <f>IF(AND(OR(I187="L", I187="M"), OR(J187="H", J187="M"), OR(K187="H", K187="M")),"Y","N")</f>
        <v>N</v>
      </c>
      <c r="I187" t="str">
        <f>IF(AND(OR(J187="L", J187="M"), OR(K187="H", K187="M"), OR(L187="H", L187="M")),"Y","N")</f>
        <v>N</v>
      </c>
      <c r="J187" t="str">
        <f>IF(AND(OR(K187="L", K187="M"), OR(L187="H", L187="M"), OR(M187="H", M187="M")),"Y","N")</f>
        <v>N</v>
      </c>
      <c r="K187" t="str">
        <v>L</v>
      </c>
      <c r="L187" t="str">
        <v>L</v>
      </c>
      <c r="M187" t="str">
        <v>M</v>
      </c>
    </row>
    <row r="188">
      <c r="A188" t="str">
        <v>Matthew 5:10</v>
      </c>
      <c r="B188" t="str">
        <v>Plum blossom</v>
      </c>
      <c r="C188">
        <v>44559</v>
      </c>
      <c r="D188" t="str">
        <v>https://www.dropbox.com/scl/fi/348aeii2wy8sys97lhf3g/IMG_1831.JPG?rlkey=iy6fbhcqya7w2r3llkfwstprz&amp;dl=0</v>
      </c>
      <c r="E188" t="str">
        <v>N/A</v>
      </c>
      <c r="F188" t="str">
        <v>N/A</v>
      </c>
      <c r="G188" t="str">
        <v>N/A</v>
      </c>
      <c r="H188" t="str">
        <f>IF(AND(OR(I188="L", I188="M"), OR(J188="H", J188="M"), OR(K188="H", K188="M")),"Y","N")</f>
        <v>N</v>
      </c>
      <c r="I188" t="str">
        <f>IF(AND(OR(J188="L", J188="M"), OR(K188="H", K188="M"), OR(L188="H", L188="M")),"Y","N")</f>
        <v>N</v>
      </c>
      <c r="J188" t="str">
        <f>IF(AND(OR(K188="L", K188="M"), OR(L188="H", L188="M"), OR(M188="H", M188="M")),"Y","N")</f>
        <v>N</v>
      </c>
      <c r="K188" t="str">
        <v>L</v>
      </c>
      <c r="L188" t="str">
        <v>L</v>
      </c>
      <c r="M188" t="str">
        <v>H</v>
      </c>
    </row>
    <row r="189">
      <c r="A189" t="str">
        <v>Luke 2:14</v>
      </c>
      <c r="B189" t="str">
        <v>Mountains</v>
      </c>
      <c r="C189">
        <v>44559</v>
      </c>
      <c r="D189" t="str">
        <v>https://www.dropbox.com/scl/fi/udufifhgmj53pymrtsu58/IMG_1829.JPG?rlkey=28dksk6361kkvg483p78jx672&amp;dl=0</v>
      </c>
      <c r="E189" t="str">
        <v>N/A</v>
      </c>
      <c r="F189" t="str">
        <v>N/A</v>
      </c>
      <c r="G189" t="str">
        <v>N/A</v>
      </c>
      <c r="H189" t="str">
        <f>IF(AND(OR(I189="L", I189="M"), OR(J189="H", J189="M"), OR(K189="H", K189="M")),"Y","N")</f>
        <v>N</v>
      </c>
      <c r="I189" t="str">
        <f>IF(AND(OR(J189="L", J189="M"), OR(K189="H", K189="M"), OR(L189="H", L189="M")),"Y","N")</f>
        <v>N</v>
      </c>
      <c r="J189" t="str">
        <f>IF(AND(OR(K189="L", K189="M"), OR(L189="H", L189="M"), OR(M189="H", M189="M")),"Y","N")</f>
        <v>N</v>
      </c>
      <c r="K189" t="str">
        <v>L</v>
      </c>
      <c r="L189" t="str">
        <v>L</v>
      </c>
      <c r="M189" t="str">
        <v>M</v>
      </c>
    </row>
    <row r="190">
      <c r="A190" t="str">
        <v>Hebrews 11:1</v>
      </c>
      <c r="B190" t="str">
        <v>Mountains</v>
      </c>
      <c r="C190">
        <v>44559</v>
      </c>
      <c r="D190" t="str">
        <v>https://www.dropbox.com/scl/fi/q2g0jsnljlluneq6zv412/IMG_1830.JPG?rlkey=01hzb9stfy4j6et9h5cyg06k2&amp;dl=0</v>
      </c>
      <c r="E190" t="str">
        <v>N/A</v>
      </c>
      <c r="F190" t="str">
        <v>N/A</v>
      </c>
      <c r="G190" t="str">
        <v>N/A</v>
      </c>
      <c r="H190" t="str">
        <f>IF(AND(OR(I190="L", I190="M"), OR(J190="H", J190="M"), OR(K190="H", K190="M")),"Y","N")</f>
        <v>N</v>
      </c>
      <c r="I190" t="str">
        <f>IF(AND(OR(J190="L", J190="M"), OR(K190="H", K190="M"), OR(L190="H", L190="M")),"Y","N")</f>
        <v>N</v>
      </c>
      <c r="J190" t="str">
        <f>IF(AND(OR(K190="L", K190="M"), OR(L190="H", L190="M"), OR(M190="H", M190="M")),"Y","N")</f>
        <v>N</v>
      </c>
      <c r="K190" t="str">
        <v>L</v>
      </c>
      <c r="L190" t="str">
        <v>L</v>
      </c>
      <c r="M190" t="str">
        <v>M</v>
      </c>
    </row>
    <row r="191">
      <c r="A191" t="str">
        <v>Luke 6:47-48</v>
      </c>
      <c r="B191" t="str">
        <v>Waterfall &amp; village</v>
      </c>
      <c r="C191">
        <v>44577</v>
      </c>
      <c r="D191" t="str">
        <v>https://www.dropbox.com/scl/fi/k3qo6petf886bjh6kqefk/IMG_1835.JPG?rlkey=cngr0e4xuvqme3zsicjmz6dve&amp;dl=0</v>
      </c>
      <c r="E191" t="str">
        <v>N/A</v>
      </c>
      <c r="F191" t="str">
        <v>N/A</v>
      </c>
      <c r="G191" t="str">
        <v>N/A</v>
      </c>
      <c r="H191" t="str">
        <v>N</v>
      </c>
      <c r="I191" t="str">
        <v>S3</v>
      </c>
      <c r="J191" t="str">
        <f>IF(AND(OR(K191="L", K191="M"), OR(L191="H", L191="M"), OR(M191="H", M191="M")),"Y","N")</f>
        <v>Y</v>
      </c>
      <c r="K191" t="str">
        <v>L</v>
      </c>
      <c r="L191" t="str">
        <v>M</v>
      </c>
      <c r="M191" t="str">
        <v>M</v>
      </c>
    </row>
    <row r="192">
      <c r="A192" t="str">
        <v>Matthew 5:10</v>
      </c>
      <c r="B192" t="str">
        <v>Plum blossom</v>
      </c>
      <c r="C192">
        <v>44586</v>
      </c>
      <c r="D192" t="str">
        <v>https://www.dropbox.com/scl/fi/ohdrzhu3qr16rwrx3nyi7/IMG_1833.JPG?rlkey=72l3yii4k4zc4amvtc1i0f43e&amp;dl=0</v>
      </c>
      <c r="E192" t="str">
        <v>N/A</v>
      </c>
      <c r="F192" t="str">
        <v>N/A</v>
      </c>
      <c r="G192" t="str">
        <v>N/A</v>
      </c>
      <c r="H192" t="str">
        <f>IF(AND(OR(I192="L", I192="M"), OR(J192="H", J192="M"), OR(K192="H", K192="M")),"Y","N")</f>
        <v>N</v>
      </c>
      <c r="I192" t="str">
        <f>IF(AND(OR(J192="L", J192="M"), OR(K192="H", K192="M"), OR(L192="H", L192="M")),"Y","N")</f>
        <v>N</v>
      </c>
      <c r="J192" t="str">
        <f>IF(AND(OR(K192="L", K192="M"), OR(L192="H", L192="M"), OR(M192="H", M192="M")),"Y","N")</f>
        <v>N</v>
      </c>
      <c r="K192" t="str">
        <v>M</v>
      </c>
      <c r="L192" t="str">
        <v>L</v>
      </c>
      <c r="M192" t="str">
        <v>H</v>
      </c>
    </row>
    <row r="193">
      <c r="A193" t="str">
        <v>John 6:68</v>
      </c>
      <c r="B193" t="str">
        <v>Mountains</v>
      </c>
      <c r="C193">
        <v>44598</v>
      </c>
      <c r="D193" t="str">
        <v>https://www.dropbox.com/scl/fi/e04w6q50x26f56c2dpb2e/IMG_1839.JPG?rlkey=io05op0fv04rt6dyh0c39uxu1&amp;dl=0</v>
      </c>
      <c r="E193" t="str">
        <v>N/A</v>
      </c>
      <c r="F193" t="str">
        <v>N/A</v>
      </c>
      <c r="G193" t="str">
        <v>N/A</v>
      </c>
      <c r="H193" t="str">
        <f>IF(AND(OR(I193="L", I193="M"), OR(J193="H", J193="M"), OR(K193="H", K193="M")),"Y","N")</f>
        <v>N</v>
      </c>
      <c r="I193" t="str">
        <f>IF(AND(OR(J193="L", J193="M"), OR(K193="H", K193="M"), OR(L193="H", L193="M")),"Y","N")</f>
        <v>N</v>
      </c>
      <c r="J193" t="str">
        <f>IF(AND(OR(K193="L", K193="M"), OR(L193="H", L193="M"), OR(M193="H", M193="M")),"Y","N")</f>
        <v>N</v>
      </c>
      <c r="K193" t="str">
        <v>L</v>
      </c>
      <c r="L193" t="str">
        <v>L</v>
      </c>
      <c r="M193" t="str">
        <v>M</v>
      </c>
    </row>
    <row r="194">
      <c r="A194" t="str">
        <v>1 Corinthians 13:4a</v>
      </c>
      <c r="B194" t="str">
        <v>Orchid</v>
      </c>
      <c r="C194">
        <v>44605</v>
      </c>
      <c r="D194" t="str">
        <v>https://www.dropbox.com/scl/fi/cm0x43j85swhylieyby2v/IMG_1840.JPG?rlkey=h7waim10ci1k0j49l3p3eg7rb&amp;dl=0</v>
      </c>
      <c r="E194" t="str">
        <v>N/A</v>
      </c>
      <c r="F194" t="str">
        <v>N/A</v>
      </c>
      <c r="G194" t="str">
        <v>N/A</v>
      </c>
      <c r="H194" t="str">
        <v>N</v>
      </c>
      <c r="I194" t="str">
        <v>S2</v>
      </c>
      <c r="J194" t="str">
        <f>IF(AND(OR(K194="L", K194="M"), OR(L194="H", L194="M"), OR(M194="H", M194="M")),"Y","N")</f>
        <v>Y</v>
      </c>
      <c r="K194" t="str">
        <v>L</v>
      </c>
      <c r="L194" t="str">
        <v>M</v>
      </c>
      <c r="M194" t="str">
        <v>M</v>
      </c>
    </row>
    <row r="195">
      <c r="A195" t="str">
        <v>Psalms 46:1</v>
      </c>
      <c r="B195" t="str">
        <v>Mountains</v>
      </c>
      <c r="C195">
        <v>44612</v>
      </c>
      <c r="D195" t="str">
        <v>https://www.dropbox.com/scl/fi/pff7sifs1cz41ztd8wn2f/IMG_1841.JPG?rlkey=0l6fjd5he4rpncbhu531gmw0y&amp;dl=0</v>
      </c>
      <c r="E195" t="str">
        <v>N/A</v>
      </c>
      <c r="F195" t="str">
        <v>N/A</v>
      </c>
      <c r="G195" t="str">
        <v>N/A</v>
      </c>
      <c r="H195" t="str">
        <v>N</v>
      </c>
      <c r="I195" t="str">
        <v>S1</v>
      </c>
      <c r="J195" t="str">
        <f>IF(AND(OR(K195="L", K195="M"), OR(L195="H", L195="M"), OR(M195="H", M195="M")),"Y","N")</f>
        <v>Y</v>
      </c>
      <c r="K195" t="str">
        <v>L</v>
      </c>
      <c r="L195" t="str">
        <v>M</v>
      </c>
      <c r="M195" t="str">
        <v>M</v>
      </c>
    </row>
    <row r="196">
      <c r="A196" t="str">
        <v>Psalms 145:20</v>
      </c>
      <c r="B196" t="str">
        <v xml:space="preserve">Mountains </v>
      </c>
      <c r="C196">
        <v>44616</v>
      </c>
      <c r="D196" t="str">
        <v>https://www.dropbox.com/scl/fi/bcpce2pdoapdmayzyse4p/IMG_1842.JPG?rlkey=uievweyy23d90u9t2b2e0owqg&amp;dl=0</v>
      </c>
      <c r="E196" t="str">
        <v>N/A</v>
      </c>
      <c r="F196" t="str">
        <v>N/A</v>
      </c>
      <c r="G196" t="str">
        <v>N/A</v>
      </c>
      <c r="H196" t="str">
        <f>IF(AND(OR(I196="L", I196="M"), OR(J196="H", J196="M"), OR(K196="H", K196="M")),"Y","N")</f>
        <v>N</v>
      </c>
      <c r="I196" t="str">
        <f>IF(AND(OR(J196="L", J196="M"), OR(K196="H", K196="M"), OR(L196="H", L196="M")),"Y","N")</f>
        <v>N</v>
      </c>
      <c r="J196" t="str">
        <f>IF(AND(OR(K196="L", K196="M"), OR(L196="H", L196="M"), OR(M196="H", M196="M")),"Y","N")</f>
        <v>N</v>
      </c>
      <c r="K196" t="str">
        <v>L</v>
      </c>
      <c r="L196" t="str">
        <v>L</v>
      </c>
      <c r="M196" t="str">
        <v>H</v>
      </c>
    </row>
    <row r="197">
      <c r="A197" t="str">
        <v>Galatians 5:22-23</v>
      </c>
      <c r="B197" t="str">
        <v>Fruits</v>
      </c>
      <c r="C197">
        <v>44626</v>
      </c>
      <c r="D197" t="str">
        <v>https://www.dropbox.com/scl/fi/gk78c1e481mz0zs9u0bqn/IMG_1843.JPG?rlkey=9uhsrbz7cc9jv1zqr09eekd33&amp;dl=0</v>
      </c>
      <c r="E197" t="str">
        <v>N/A</v>
      </c>
      <c r="F197" t="str">
        <v>N/A</v>
      </c>
      <c r="G197" t="str">
        <v>孙弟兄，这是你今年2月27号发给我的，我今天发去了给东南亚聖徒，明天清晨将发给美国的聖徒们。愿聖灵的果子在这未后黑暗的世代加强供应弟兄姐妹的需要，成为教会的祝福！[Worship]．</v>
      </c>
      <c r="H197" t="str">
        <v>N</v>
      </c>
      <c r="I197" t="str">
        <v>S3</v>
      </c>
      <c r="J197" t="str">
        <f>IF(AND(OR(K197="L", K197="M"), OR(L197="H", L197="M"), OR(M197="H", M197="M")),"Y","N")</f>
        <v>Y</v>
      </c>
      <c r="K197" t="str">
        <v>L</v>
      </c>
      <c r="L197" t="str">
        <v>M</v>
      </c>
      <c r="M197" t="str">
        <v>M</v>
      </c>
    </row>
    <row r="198">
      <c r="A198" t="str">
        <v>John 15:9</v>
      </c>
      <c r="B198" t="str">
        <v>Grapes</v>
      </c>
      <c r="C198">
        <v>44648</v>
      </c>
      <c r="D198" t="str">
        <v>https://www.dropbox.com/scl/fi/84ns7qzx062uag7nv8opf/IMG_1846.JPG?rlkey=0lzzegrt6pzavhs387ezsekmz&amp;dl=0</v>
      </c>
      <c r="E198" t="str">
        <v>N/A</v>
      </c>
      <c r="F198" t="str">
        <v>N/A</v>
      </c>
      <c r="G198" t="str">
        <v>N/A</v>
      </c>
      <c r="H198" t="str">
        <f>IF(AND(OR(I198="L", I198="M"), OR(J198="H", J198="M"), OR(K198="H", K198="M")),"Y","N")</f>
        <v>N</v>
      </c>
      <c r="I198" t="str">
        <f>IF(AND(OR(J198="L", J198="M"), OR(K198="H", K198="M"), OR(L198="H", L198="M")),"Y","N")</f>
        <v>N</v>
      </c>
      <c r="J198" t="str">
        <f>IF(AND(OR(K198="L", K198="M"), OR(L198="H", L198="M"), OR(M198="H", M198="M")),"Y","N")</f>
        <v>N</v>
      </c>
      <c r="K198" t="str">
        <v>M</v>
      </c>
      <c r="L198" t="str">
        <v>L</v>
      </c>
      <c r="M198" t="str">
        <v>H</v>
      </c>
    </row>
    <row r="199">
      <c r="A199" t="str">
        <v>Song of Solomon 2:1</v>
      </c>
      <c r="B199" t="str">
        <v>Lily &amp; rose</v>
      </c>
      <c r="C199">
        <v>44661</v>
      </c>
      <c r="D199" t="str">
        <v>https://www.dropbox.com/scl/fi/no96c2xecv4mpezr5ttg7/IMG_1848.JPG?rlkey=5jgzz5kaq7dinmiqeryx1papa&amp;dl=0</v>
      </c>
      <c r="E199" t="str">
        <v>N/A</v>
      </c>
      <c r="F199" t="str">
        <v>N/A</v>
      </c>
      <c r="G199" t="str">
        <v>N/A</v>
      </c>
      <c r="H199" t="str">
        <f>IF(AND(OR(I199="L", I199="M"), OR(J199="H", J199="M"), OR(K199="H", K199="M")),"Y","N")</f>
        <v>N</v>
      </c>
      <c r="I199" t="str">
        <f>IF(AND(OR(J199="L", J199="M"), OR(K199="H", K199="M"), OR(L199="H", L199="M")),"Y","N")</f>
        <v>N</v>
      </c>
      <c r="J199" t="str">
        <f>IF(AND(OR(K199="L", K199="M"), OR(L199="H", L199="M"), OR(M199="H", M199="M")),"Y","N")</f>
        <v>N</v>
      </c>
      <c r="K199" t="str">
        <v>L</v>
      </c>
      <c r="L199" t="str">
        <v>L</v>
      </c>
      <c r="M199" t="str">
        <v>H</v>
      </c>
    </row>
    <row r="200">
      <c r="A200" t="str">
        <v>John 11:25</v>
      </c>
      <c r="B200" t="str">
        <v>Lily</v>
      </c>
      <c r="C200">
        <v>44668</v>
      </c>
      <c r="D200" t="str">
        <v>https://www.dropbox.com/scl/fi/xwwayezrdgz0dpn62xxfn/IMG_1850.JPG?rlkey=2lvkbtsy0kwkg8xk07h1rjqqu&amp;dl=0</v>
      </c>
      <c r="E200" t="str">
        <v>N/A</v>
      </c>
      <c r="F200" t="str">
        <v>大陆已经是主日的上午，这是我发到东南亚的主的话和你的画，在清晨的时候就能供应那远方的圣徒，美国的我要明天早晨再发给他们，愿神祝福衪自己的话。弟兄最近好吗？我姊妹六月底会来美国，想那时候到佛罗里达来看望你们，如果主给我们时间方便。</v>
      </c>
      <c r="G200" t="str">
        <v>感谢神，愿你姊妹平安来美国与你团聚。现在上海封城如同58年的麻雀清零一样。这肯定不符合神的旨意。因为神若是这样对付我们的罪，我们一个都不能存活，全部清零。神给我们认罪悔改的机会，把独生儿子赐给我们，让我们信入他的不至灭亡，反得永生！非常欢迎你们到时能到我们这里来看望我们。等靠近些日期，我们仔细交通一下行程安排。我们盼望着你们的到来！</v>
      </c>
      <c r="H200" t="str">
        <v>N</v>
      </c>
      <c r="I200" t="str">
        <v>S2</v>
      </c>
      <c r="J200" t="str">
        <f>IF(AND(OR(K200="L", K200="M"), OR(L200="H", L200="M"), OR(M200="H", M200="M")),"Y","N")</f>
        <v>Y</v>
      </c>
      <c r="K200" t="str">
        <v>M</v>
      </c>
      <c r="L200" t="str">
        <v>M</v>
      </c>
      <c r="M200" t="str">
        <v>M</v>
      </c>
    </row>
    <row r="201">
      <c r="A201" t="str">
        <v>Mark 12:30</v>
      </c>
      <c r="B201" t="str">
        <v>Flowers</v>
      </c>
      <c r="C201">
        <v>44686</v>
      </c>
      <c r="D201" t="str">
        <v>https://www.dropbox.com/scl/fi/euecppcua21aknaohtmlc/IMG_1853.JPG?rlkey=0ty85ym27ziaad3u4k7ogb5q1&amp;dl=0</v>
      </c>
      <c r="E201" t="str">
        <v>N/A</v>
      </c>
      <c r="F201" t="str">
        <v>N/A</v>
      </c>
      <c r="G201" t="str">
        <v>N/A</v>
      </c>
      <c r="H201" t="str">
        <f>IF(AND(OR(I201="L", I201="M"), OR(J201="H", J201="M"), OR(K201="H", K201="M")),"Y","N")</f>
        <v>N</v>
      </c>
      <c r="I201" t="str">
        <f>IF(AND(OR(J201="L", J201="M"), OR(K201="H", K201="M"), OR(L201="H", L201="M")),"Y","N")</f>
        <v>N</v>
      </c>
      <c r="J201" t="str">
        <f>IF(AND(OR(K201="L", K201="M"), OR(L201="H", L201="M"), OR(M201="H", M201="M")),"Y","N")</f>
        <v>N</v>
      </c>
      <c r="K201" t="str">
        <v>M</v>
      </c>
      <c r="L201" t="str">
        <v>L</v>
      </c>
      <c r="M201" t="str">
        <v>H</v>
      </c>
    </row>
    <row r="202">
      <c r="A202" t="str">
        <v>Proverbs 18:10</v>
      </c>
      <c r="B202" t="str">
        <v>Mountain view</v>
      </c>
      <c r="C202">
        <v>44693</v>
      </c>
      <c r="D202" t="str">
        <v>https://www.dropbox.com/scl/fi/34nm37ga1tsbzxzmysm4p/IMG_1851.JPG?rlkey=1h9leg9ljfh0c75e3gd2efkd7&amp;dl=0</v>
      </c>
      <c r="E202" t="str">
        <v>N/A</v>
      </c>
      <c r="F202" t="str">
        <v>刚将其发了去给亚洲众圣徒，那是主日崇拜日清晨五点</v>
      </c>
      <c r="G202" t="str">
        <v>N/A</v>
      </c>
      <c r="H202" t="str">
        <v>N</v>
      </c>
      <c r="I202" t="str">
        <v>S3</v>
      </c>
      <c r="J202" t="str">
        <f>IF(AND(OR(K202="L", K202="M"), OR(L202="H", L202="M"), OR(M202="H", M202="M")),"Y","N")</f>
        <v>Y</v>
      </c>
      <c r="K202" t="str">
        <v>L</v>
      </c>
      <c r="L202" t="str">
        <v>M</v>
      </c>
      <c r="M202" t="str">
        <v>M</v>
      </c>
    </row>
    <row r="203">
      <c r="A203" t="str">
        <v>Isaiah 40:31</v>
      </c>
      <c r="B203" t="str">
        <v xml:space="preserve">Eagle </v>
      </c>
      <c r="C203">
        <v>44699</v>
      </c>
      <c r="D203" t="str">
        <v>https://www.dropbox.com/scl/fi/7m25brcecu6cnmxosd8u9/IMG_1855.JPG?rlkey=27ydmf9s127me7o5udeyynjyv&amp;dl=0</v>
      </c>
      <c r="E203" t="str">
        <v>N/A</v>
      </c>
      <c r="F203" t="str">
        <v>N/A</v>
      </c>
      <c r="G203" t="str">
        <v>N/A</v>
      </c>
      <c r="H203" t="str">
        <v>N</v>
      </c>
      <c r="I203" t="str">
        <v>S2</v>
      </c>
      <c r="J203" t="str">
        <f>IF(AND(OR(K203="L", K203="M"), OR(L203="H", L203="M"), OR(M203="H", M203="M")),"Y","N")</f>
        <v>Y</v>
      </c>
      <c r="K203" t="str">
        <v>L</v>
      </c>
      <c r="L203" t="str">
        <v>M</v>
      </c>
      <c r="M203" t="str">
        <v>M</v>
      </c>
    </row>
    <row r="204">
      <c r="A204" t="str">
        <v>Psalms 145:17</v>
      </c>
      <c r="B204" t="str">
        <v>Bamboo leaves &amp; moon</v>
      </c>
      <c r="C204">
        <v>44701</v>
      </c>
      <c r="D204" t="str">
        <v>https://www.dropbox.com/scl/fi/2fyxqmuawe5d9tt64o5qy/IMG_1856.JPG?rlkey=erww0t0q7p1u7rlv5ji0heark&amp;dl=0</v>
      </c>
      <c r="E204" t="str">
        <v>N/A</v>
      </c>
      <c r="F204" t="str">
        <v>N/A</v>
      </c>
      <c r="G204" t="str">
        <v>N/A</v>
      </c>
      <c r="H204" t="str">
        <v>N</v>
      </c>
      <c r="I204" t="str">
        <v>S2</v>
      </c>
      <c r="J204" t="str">
        <f>IF(AND(OR(K204="L", K204="M"), OR(L204="H", L204="M"), OR(M204="H", M204="M")),"Y","N")</f>
        <v>Y</v>
      </c>
      <c r="K204" t="str">
        <v>L</v>
      </c>
      <c r="L204" t="str">
        <v>M</v>
      </c>
      <c r="M204" t="str">
        <v>M</v>
      </c>
    </row>
    <row r="205">
      <c r="A205" t="str">
        <v>Matthew 5:8</v>
      </c>
      <c r="B205" t="str">
        <v>Epiphyllum (purple)</v>
      </c>
      <c r="C205">
        <v>44701</v>
      </c>
      <c r="D205" t="str">
        <v>https://www.dropbox.com/scl/fi/3rm3z9e27ecs3s5zymgw2/IMG_1857.JPG?rlkey=71pftxwpbbgmul9th0jhvo6rt&amp;dl=0</v>
      </c>
      <c r="E205" t="str">
        <v>N/A</v>
      </c>
      <c r="F205" t="str">
        <v>N/A</v>
      </c>
      <c r="G205" t="str">
        <v>孙弟兄，这是你今年五月十几号发给我的，我当时没有用我把它收起来了，今天正好可以发到东南亚给众聖徒们享受，感谢主，但愿我们都可成为清心的的儿女，让神喜悦。我姐妹本来应该是今天去洛杉矶再回国的，但是你知道现在很多班机都被取掉了，所以她的班机也被取掉了，所以我们就没有去洛杉矶，她现在正在 走另外一条线啊，现在飞机是又贵又难找，请为我们代祷。</v>
      </c>
      <c r="H205" t="str">
        <v>N</v>
      </c>
      <c r="I205" t="str">
        <v>S3</v>
      </c>
      <c r="J205" t="str">
        <f>IF(AND(OR(K205="L", K205="M"), OR(L205="H", L205="M"), OR(M205="H", M205="M")),"Y","N")</f>
        <v>Y</v>
      </c>
      <c r="K205" t="str">
        <v>L</v>
      </c>
      <c r="L205" t="str">
        <v>M</v>
      </c>
      <c r="M205" t="str">
        <v>M</v>
      </c>
    </row>
    <row r="206">
      <c r="A206" t="str">
        <v>Psalms 89:14</v>
      </c>
      <c r="B206" t="str">
        <v>Eagle</v>
      </c>
      <c r="C206">
        <v>44703</v>
      </c>
      <c r="D206" t="str">
        <v>https://www.dropbox.com/scl/fi/3nzb87m0oonlj07xbem8w/IMG_1859.JPG?rlkey=7p347gaeug0dascdd2a5qgcyp&amp;dl=0</v>
      </c>
      <c r="E206" t="str">
        <v>N/A</v>
      </c>
      <c r="F206" t="str">
        <v>N/A</v>
      </c>
      <c r="G206" t="str">
        <v>N/A</v>
      </c>
      <c r="H206" t="str">
        <f>IF(AND(OR(I206="L", I206="M"), OR(J206="H", J206="M"), OR(K206="H", K206="M")),"Y","N")</f>
        <v>N</v>
      </c>
      <c r="I206" t="str">
        <f>IF(AND(OR(J206="L", J206="M"), OR(K206="H", K206="M"), OR(L206="H", L206="M")),"Y","N")</f>
        <v>N</v>
      </c>
      <c r="J206" t="str">
        <f>IF(AND(OR(K206="L", K206="M"), OR(L206="H", L206="M"), OR(M206="H", M206="M")),"Y","N")</f>
        <v>N</v>
      </c>
      <c r="K206" t="str">
        <v>L</v>
      </c>
      <c r="L206" t="str">
        <v>L</v>
      </c>
      <c r="M206" t="str">
        <v>M</v>
      </c>
    </row>
    <row r="207">
      <c r="A207" t="str">
        <v>Psalms 91:1</v>
      </c>
      <c r="B207" t="str">
        <v>Mountains</v>
      </c>
      <c r="C207">
        <v>44704</v>
      </c>
      <c r="D207" t="str">
        <v>https://www.dropbox.com/scl/fi/xu9qcyfk5ls5uuy0qzkpt/IMG_1860.JPG?rlkey=qifma888i158yf6fq4o78l430&amp;dl=0</v>
      </c>
      <c r="E207" t="str">
        <v>N/A</v>
      </c>
      <c r="F207" t="str">
        <v>N/A</v>
      </c>
      <c r="G207" t="str">
        <v>N/A</v>
      </c>
      <c r="H207" t="str">
        <f>IF(AND(OR(I207="L", I207="M"), OR(J207="H", J207="M"), OR(K207="H", K207="M")),"Y","N")</f>
        <v>N</v>
      </c>
      <c r="I207" t="str">
        <f>IF(AND(OR(J207="L", J207="M"), OR(K207="H", K207="M"), OR(L207="H", L207="M")),"Y","N")</f>
        <v>N</v>
      </c>
      <c r="J207" t="str">
        <f>IF(AND(OR(K207="L", K207="M"), OR(L207="H", L207="M"), OR(M207="H", M207="M")),"Y","N")</f>
        <v>N</v>
      </c>
      <c r="K207" t="str">
        <v>L</v>
      </c>
      <c r="L207" t="str">
        <v>L</v>
      </c>
      <c r="M207" t="str">
        <v>M</v>
      </c>
    </row>
    <row r="208">
      <c r="A208" t="str">
        <v>Psalms 87:1</v>
      </c>
      <c r="B208" t="str">
        <v>Mountains</v>
      </c>
      <c r="C208">
        <v>44717</v>
      </c>
      <c r="D208" t="str">
        <v>https://www.dropbox.com/scl/fi/kq9vsdvxbna4ava4aywg7/IMG_1861.JPG?rlkey=fvia9u1yf026u1figwmycowrg&amp;dl=0</v>
      </c>
      <c r="E208" t="str">
        <v>N/A</v>
      </c>
      <c r="F208" t="str">
        <v>N/A</v>
      </c>
      <c r="G208" t="str">
        <v>N/A</v>
      </c>
      <c r="H208" t="str">
        <v>N</v>
      </c>
      <c r="I208" t="str">
        <v>S2</v>
      </c>
      <c r="J208" t="str">
        <f>IF(AND(OR(K208="L", K208="M"), OR(L208="H", L208="M"), OR(M208="H", M208="M")),"Y","N")</f>
        <v>Y</v>
      </c>
      <c r="K208" t="str">
        <v>L</v>
      </c>
      <c r="L208" t="str">
        <v>M</v>
      </c>
      <c r="M208" t="str">
        <v>M</v>
      </c>
    </row>
    <row r="209">
      <c r="A209" t="str">
        <v>Isaiah 35:1</v>
      </c>
      <c r="B209" t="str">
        <v>Crocus</v>
      </c>
      <c r="C209">
        <v>44726</v>
      </c>
      <c r="D209" t="str">
        <v>https://www.dropbox.com/scl/fi/67ftk029uukz5v805kb65/IMG_1862.JPG?rlkey=83u4o1a6f8nhvk8ynvras9bw8&amp;dl=0</v>
      </c>
      <c r="E209" t="str">
        <v>N/A</v>
      </c>
      <c r="F209" t="str">
        <v>N/A</v>
      </c>
      <c r="G209" t="str">
        <v>N/A</v>
      </c>
      <c r="H209" t="str">
        <v>N</v>
      </c>
      <c r="I209" t="str">
        <v>S1</v>
      </c>
      <c r="J209" t="str">
        <f>IF(AND(OR(K209="L", K209="M"), OR(L209="H", L209="M"), OR(M209="H", M209="M")),"Y","N")</f>
        <v>Y</v>
      </c>
      <c r="K209" t="str">
        <v>L</v>
      </c>
      <c r="L209" t="str">
        <v>M</v>
      </c>
      <c r="M209" t="str">
        <v>H</v>
      </c>
    </row>
    <row r="210">
      <c r="A210" t="str">
        <v xml:space="preserve">Isaiah 60:1 </v>
      </c>
      <c r="B210" t="str">
        <v>Mountains &amp; light</v>
      </c>
      <c r="C210">
        <v>44727</v>
      </c>
      <c r="D210" t="str">
        <v>https://www.dropbox.com/scl/fi/niimq18k08oup7vpku1yp/IMG_1863.JPG?rlkey=5i5kzne8mx7u6yill73gh6j5m&amp;dl=0</v>
      </c>
      <c r="E210" t="str">
        <v>N/A</v>
      </c>
      <c r="F210" t="str">
        <v>N/A</v>
      </c>
      <c r="G210" t="str">
        <v>N/A</v>
      </c>
      <c r="H210" t="str">
        <v>N</v>
      </c>
      <c r="I210" t="str">
        <v>S2</v>
      </c>
      <c r="J210" t="str">
        <f>IF(AND(OR(K210="L", K210="M"), OR(L210="H", L210="M"), OR(M210="H", M210="M")),"Y","N")</f>
        <v>Y</v>
      </c>
      <c r="K210" t="str">
        <v>L</v>
      </c>
      <c r="L210" t="str">
        <v>M</v>
      </c>
      <c r="M210" t="str">
        <v>M</v>
      </c>
    </row>
    <row r="211">
      <c r="A211" t="str">
        <v>Isaiah 35:1-2</v>
      </c>
      <c r="B211" t="str">
        <v>Crocus</v>
      </c>
      <c r="C211">
        <v>44741</v>
      </c>
      <c r="D211" t="str">
        <v>https://www.dropbox.com/scl/fi/t4luvehui22g76b9qjnmg/IMG_1864.JPG?rlkey=k0p8ufvvxrlf0q2o0y3h6t8qo&amp;dl=0</v>
      </c>
      <c r="E211" t="str">
        <v>N/A</v>
      </c>
      <c r="F211" t="str">
        <v>N/A</v>
      </c>
      <c r="G211" t="str">
        <v>N/A</v>
      </c>
      <c r="H211" t="str">
        <v>N</v>
      </c>
      <c r="I211" t="str">
        <v>S3</v>
      </c>
      <c r="J211" t="str">
        <f>IF(AND(OR(K211="L", K211="M"), OR(L211="H", L211="M"), OR(M211="H", M211="M")),"Y","N")</f>
        <v>Y</v>
      </c>
      <c r="K211" t="str">
        <v>L</v>
      </c>
      <c r="L211" t="str">
        <v>M</v>
      </c>
      <c r="M211" t="str">
        <v>H</v>
      </c>
    </row>
    <row r="212">
      <c r="A212" t="str">
        <v>Psalms 145:10-12</v>
      </c>
      <c r="B212" t="str">
        <v>Mountain view</v>
      </c>
      <c r="C212">
        <v>44748</v>
      </c>
      <c r="D212" t="str">
        <v>https://www.dropbox.com/scl/fi/cf54cuq9dtb5oh2uycdey/IMG_1868.JPG?rlkey=dl987qwrzml4w9mvj8fjgzsi4&amp;dl=0</v>
      </c>
      <c r="E212" t="str">
        <v>N/A</v>
      </c>
      <c r="F212" t="str">
        <v>N/A</v>
      </c>
      <c r="G212" t="str">
        <v>N/A</v>
      </c>
      <c r="H212" t="str">
        <v>N</v>
      </c>
      <c r="I212" t="str">
        <v>S2</v>
      </c>
      <c r="J212" t="str">
        <f>IF(AND(OR(K212="L", K212="M"), OR(L212="H", L212="M"), OR(M212="H", M212="M")),"Y","N")</f>
        <v>Y</v>
      </c>
      <c r="K212" t="str">
        <v>L</v>
      </c>
      <c r="L212" t="str">
        <v>M</v>
      </c>
      <c r="M212" t="str">
        <v>M</v>
      </c>
    </row>
    <row r="213">
      <c r="A213" t="str">
        <v>1 John 4:7</v>
      </c>
      <c r="B213" t="str">
        <v>Peony (green)</v>
      </c>
      <c r="C213">
        <v>44756</v>
      </c>
      <c r="D213" t="str">
        <v>https://www.dropbox.com/scl/fi/s5c86aydll7lgcafefxm4/IMG_1871.JPG?rlkey=72tt17zyywudskxtps7tmf4bu&amp;dl=0</v>
      </c>
      <c r="E213" t="str">
        <v>N/A</v>
      </c>
      <c r="F213" t="str">
        <v>N/A</v>
      </c>
      <c r="G213" t="str">
        <v>N/A</v>
      </c>
      <c r="H213" t="str">
        <v>N</v>
      </c>
      <c r="I213" t="str">
        <v>S3</v>
      </c>
      <c r="J213" t="str">
        <f>IF(AND(OR(K213="L", K213="M"), OR(L213="H", L213="M"), OR(M213="H", M213="M")),"Y","N")</f>
        <v>Y</v>
      </c>
      <c r="K213" t="str">
        <v>L</v>
      </c>
      <c r="L213" t="str">
        <v>M</v>
      </c>
      <c r="M213" t="str">
        <v>H</v>
      </c>
    </row>
    <row r="214">
      <c r="A214" t="str">
        <v>Psalms 25:1</v>
      </c>
      <c r="B214" t="str">
        <v>Mountains</v>
      </c>
      <c r="C214">
        <v>44767</v>
      </c>
      <c r="D214" t="str">
        <v>https://www.dropbox.com/scl/fi/garq4gtnmsxnp9ewjgeas/IMG_1872.JPG?rlkey=7c1bbsfgvwk0a9k7w39v4w0bc&amp;dl=0</v>
      </c>
      <c r="E214" t="str">
        <v>N/A</v>
      </c>
      <c r="F214" t="str">
        <v>N/A</v>
      </c>
      <c r="G214" t="str">
        <v>[Worship]因为一生的果效由心发出！</v>
      </c>
      <c r="H214" t="str">
        <v>N</v>
      </c>
      <c r="I214" t="str">
        <v>S3</v>
      </c>
      <c r="J214" t="str">
        <f>IF(AND(OR(K214="L", K214="M"), OR(L214="H", L214="M"), OR(M214="H", M214="M")),"Y","N")</f>
        <v>Y</v>
      </c>
      <c r="K214" t="str">
        <v>L</v>
      </c>
      <c r="L214" t="str">
        <v>M</v>
      </c>
      <c r="M214" t="str">
        <v>M</v>
      </c>
    </row>
    <row r="215">
      <c r="A215" t="str">
        <v>Song of Solomon 8:7</v>
      </c>
      <c r="B215" t="str">
        <v>Waterfall</v>
      </c>
      <c r="C215">
        <v>44780</v>
      </c>
      <c r="D215" t="str">
        <v>https://www.dropbox.com/scl/fi/biq37l6svma7bms3g3ejo/IMG_1873.JPG?rlkey=0bozlya2kqc0x561wzmvthh5g&amp;dl=0</v>
      </c>
      <c r="E215" t="str">
        <v>N/A</v>
      </c>
      <c r="F215" t="str">
        <v>N/A</v>
      </c>
      <c r="G215" t="str">
        <v>N/A</v>
      </c>
      <c r="H215" t="str">
        <f>IF(AND(OR(I215="L", I215="M"), OR(J215="H", J215="M"), OR(K215="H", K215="M")),"Y","N")</f>
        <v>N</v>
      </c>
      <c r="I215" t="str">
        <f>IF(AND(OR(J215="L", J215="M"), OR(K215="H", K215="M"), OR(L215="H", L215="M")),"Y","N")</f>
        <v>N</v>
      </c>
      <c r="J215" t="str">
        <f>IF(AND(OR(K215="L", K215="M"), OR(L215="H", L215="M"), OR(M215="H", M215="M")),"Y","N")</f>
        <v>N</v>
      </c>
      <c r="K215" t="str">
        <v>L</v>
      </c>
      <c r="L215" t="str">
        <v>L</v>
      </c>
      <c r="M215" t="str">
        <v>M</v>
      </c>
    </row>
    <row r="216">
      <c r="A216" t="str">
        <v>Psalms 72:5</v>
      </c>
      <c r="B216" t="str">
        <v>Jesus' hand</v>
      </c>
      <c r="C216">
        <v>44793</v>
      </c>
      <c r="D216" t="str">
        <v>https://www.dropbox.com/scl/fi/wnc7nseh2q21mm266ohm3/IMG_1874.JPG?rlkey=qg1l7dkakw6ln4bb9o9x1wzwl&amp;dl=0</v>
      </c>
      <c r="E216" t="str">
        <v>N/A</v>
      </c>
      <c r="F216" t="str">
        <v>N/A</v>
      </c>
      <c r="G216" t="str">
        <v>N/A</v>
      </c>
      <c r="H216" t="str">
        <f>IF(AND(OR(I216="L", I216="M"), OR(J216="H", J216="M"), OR(K216="H", K216="M")),"Y","N")</f>
        <v>N</v>
      </c>
      <c r="I216" t="str">
        <f>IF(AND(OR(J216="L", J216="M"), OR(K216="H", K216="M"), OR(L216="H", L216="M")),"Y","N")</f>
        <v>N</v>
      </c>
      <c r="J216" t="str">
        <f>IF(AND(OR(K216="L", K216="M"), OR(L216="H", L216="M"), OR(M216="H", M216="M")),"Y","N")</f>
        <v>N</v>
      </c>
      <c r="K216" t="str">
        <v>L</v>
      </c>
      <c r="L216" t="str">
        <v>L</v>
      </c>
      <c r="M216" t="str">
        <v>H</v>
      </c>
    </row>
    <row r="217">
      <c r="A217" t="str">
        <v>John 15:7</v>
      </c>
      <c r="B217" t="str">
        <v>Floral art</v>
      </c>
      <c r="C217">
        <v>44809</v>
      </c>
      <c r="D217" t="str">
        <v>https://www.dropbox.com/scl/fi/37xaz0sg82hajxfywfhan/IMG_1876.JPG?rlkey=pgkax55ethi3opffogfsyi3on&amp;dl=0</v>
      </c>
      <c r="E217" t="str">
        <v>N/A</v>
      </c>
      <c r="F217" t="str">
        <v>N/A</v>
      </c>
      <c r="G217" t="str">
        <v>N/A</v>
      </c>
      <c r="H217" t="str">
        <v>N</v>
      </c>
      <c r="I217" t="str">
        <v>S1</v>
      </c>
      <c r="J217" t="str">
        <f>IF(AND(OR(K217="L", K217="M"), OR(L217="H", L217="M"), OR(M217="H", M217="M")),"Y","N")</f>
        <v>Y</v>
      </c>
      <c r="K217" t="str">
        <v>L</v>
      </c>
      <c r="L217" t="str">
        <v>M</v>
      </c>
      <c r="M217" t="str">
        <v>H</v>
      </c>
    </row>
    <row r="218">
      <c r="A218" t="str">
        <v>John 1:4</v>
      </c>
      <c r="B218" t="str">
        <v>Eagles</v>
      </c>
      <c r="C218">
        <v>44814</v>
      </c>
      <c r="D218" t="str">
        <v>https://www.dropbox.com/scl/fi/5kj8siio9upl7t924ji2o/IMG_1877.JPG?rlkey=4vlahazzbw2223qnutgugds8r&amp;dl=0</v>
      </c>
      <c r="E218" t="str">
        <v>N/A</v>
      </c>
      <c r="F218" t="str">
        <v>N/A</v>
      </c>
      <c r="G218" t="str">
        <v>N/A</v>
      </c>
      <c r="H218" t="str">
        <v>N</v>
      </c>
      <c r="I218" t="str">
        <v>S3</v>
      </c>
      <c r="J218" t="str">
        <f>IF(AND(OR(K218="L", K218="M"), OR(L218="H", L218="M"), OR(M218="H", M218="M")),"Y","N")</f>
        <v>Y</v>
      </c>
      <c r="K218" t="str">
        <v>L</v>
      </c>
      <c r="L218" t="str">
        <v>M</v>
      </c>
      <c r="M218" t="str">
        <v>H</v>
      </c>
    </row>
    <row r="219">
      <c r="A219" t="str">
        <v>2 Corinthians 9:15</v>
      </c>
      <c r="B219" t="str">
        <v>Chrysanthemum, tea pot, and bible</v>
      </c>
      <c r="C219">
        <v>44821</v>
      </c>
      <c r="D219" t="str">
        <v>https://www.dropbox.com/scl/fi/wo7o8ijavc0570lzrf10m/IMG_1878.JPG?rlkey=5zu20hncvxt7iac1jh7lugovt&amp;dl=0</v>
      </c>
      <c r="E219" t="str">
        <v>N/A</v>
      </c>
      <c r="F219" t="str">
        <v>N/A</v>
      </c>
      <c r="G219" t="str">
        <v>N/A</v>
      </c>
      <c r="H219" t="str">
        <v>N</v>
      </c>
      <c r="I219" t="str">
        <v>S3</v>
      </c>
      <c r="J219" t="str">
        <f>IF(AND(OR(K219="L", K219="M"), OR(L219="H", L219="M"), OR(M219="H", M219="M")),"Y","N")</f>
        <v>Y</v>
      </c>
      <c r="K219" t="str">
        <v>L</v>
      </c>
      <c r="L219" t="str">
        <v>M</v>
      </c>
      <c r="M219" t="str">
        <v>H</v>
      </c>
    </row>
    <row r="220">
      <c r="A220" t="str">
        <v>John 8:12</v>
      </c>
      <c r="B220" t="str">
        <v>Mountains</v>
      </c>
      <c r="C220">
        <v>44834</v>
      </c>
      <c r="D220" t="str">
        <v>https://www.dropbox.com/scl/fi/c7hf6nl8hist105assfue/IMG_1880.JPG?rlkey=4t7viz7dipnbic3h2fsx1tjdk&amp;dl=0</v>
      </c>
      <c r="E220" t="str">
        <v>N/A</v>
      </c>
      <c r="F220" t="str">
        <v>N/A</v>
      </c>
      <c r="G220" t="str">
        <v>N/A</v>
      </c>
      <c r="H220" t="str">
        <v>N</v>
      </c>
      <c r="I220" t="str">
        <v>S1</v>
      </c>
      <c r="J220" t="str">
        <f>IF(AND(OR(K220="L", K220="M"), OR(L220="H", L220="M"), OR(M220="H", M220="M")),"Y","N")</f>
        <v>Y</v>
      </c>
      <c r="K220" t="str">
        <v>L</v>
      </c>
      <c r="L220" t="str">
        <v>M</v>
      </c>
      <c r="M220" t="str">
        <v>M</v>
      </c>
    </row>
    <row r="221">
      <c r="A221" t="str">
        <v>Job 23:10</v>
      </c>
      <c r="B221" t="str">
        <v>Waterfall</v>
      </c>
      <c r="C221">
        <v>44834</v>
      </c>
      <c r="D221" t="str">
        <v>https://www.dropbox.com/scl/fi/lnnerj1t0qq8al0zo6k7p/IMG_1879.JPG?rlkey=4fjvhfscqeiue8msnq6bep6l1&amp;dl=0</v>
      </c>
      <c r="E221" t="str">
        <v>N/A</v>
      </c>
      <c r="F221" t="str">
        <v>N/A</v>
      </c>
      <c r="G221" t="str">
        <v>N/A</v>
      </c>
      <c r="H221" t="str">
        <v>N</v>
      </c>
      <c r="I221" t="str">
        <v>S1</v>
      </c>
      <c r="J221" t="str">
        <f>IF(AND(OR(K221="L", K221="M"), OR(L221="H", L221="M"), OR(M221="H", M221="M")),"Y","N")</f>
        <v>Y</v>
      </c>
      <c r="K221" t="str">
        <v>L</v>
      </c>
      <c r="L221" t="str">
        <v>M</v>
      </c>
      <c r="M221" t="str">
        <v>M</v>
      </c>
    </row>
    <row r="222">
      <c r="A222" t="str">
        <v>John 10:27-28</v>
      </c>
      <c r="B222" t="str">
        <v>Lambs</v>
      </c>
      <c r="C222">
        <v>44906</v>
      </c>
      <c r="D222" t="str">
        <v>https://www.dropbox.com/scl/fi/hxovhkdasz3b3wyl92ddk/IMG_1884.JPG?rlkey=1nigbgmb7tk350shw915ao7d2&amp;dl=0</v>
      </c>
      <c r="E222" t="str">
        <v>N/A</v>
      </c>
      <c r="F222" t="str">
        <v>N/A</v>
      </c>
      <c r="G222" t="str">
        <v>N/A</v>
      </c>
      <c r="H222" t="str">
        <f>IF(AND(OR(I222="L", I222="M"), OR(J222="H", J222="M"), OR(K222="H", K222="M")),"Y","N")</f>
        <v>N</v>
      </c>
      <c r="I222" t="str">
        <f>IF(AND(OR(J222="L", J222="M"), OR(K222="H", K222="M"), OR(L222="H", L222="M")),"Y","N")</f>
        <v>N</v>
      </c>
      <c r="J222" t="str">
        <f>IF(AND(OR(K222="L", K222="M"), OR(L222="H", L222="M"), OR(M222="H", M222="M")),"Y","N")</f>
        <v>N</v>
      </c>
      <c r="K222" t="str">
        <v>L</v>
      </c>
      <c r="L222" t="str">
        <v>L</v>
      </c>
      <c r="M222" t="str">
        <v>H</v>
      </c>
    </row>
    <row r="223">
      <c r="A223" t="str">
        <v>Isaiah 55:10</v>
      </c>
      <c r="B223" t="str">
        <v>Pine tree and plum blossom</v>
      </c>
      <c r="C223">
        <v>44906</v>
      </c>
      <c r="D223" t="str">
        <v>https://www.dropbox.com/scl/fi/at440o0j0vzlksyqnbvvv/IMG_1882.JPG?rlkey=izim1xj59hq9848kwdxpr0xaf&amp;dl=0</v>
      </c>
      <c r="E223" t="str">
        <v>N/A</v>
      </c>
      <c r="F223" t="str">
        <v>N/A</v>
      </c>
      <c r="G223" t="str">
        <v>N/A</v>
      </c>
      <c r="H223" t="str">
        <v>N</v>
      </c>
      <c r="I223" t="str">
        <v>S3</v>
      </c>
      <c r="J223" t="str">
        <f>IF(AND(OR(K223="L", K223="M"), OR(L223="H", L223="M"), OR(M223="H", M223="M")),"Y","N")</f>
        <v>Y</v>
      </c>
      <c r="K223" t="str">
        <v>L</v>
      </c>
      <c r="L223" t="str">
        <v>M</v>
      </c>
      <c r="M223" t="str">
        <v>H</v>
      </c>
    </row>
    <row r="224">
      <c r="A224" t="str">
        <v>John 10:29-30</v>
      </c>
      <c r="B224" t="str">
        <v>Lamb</v>
      </c>
      <c r="C224">
        <v>44906</v>
      </c>
      <c r="D224" t="str">
        <v>https://www.dropbox.com/scl/fi/7pygjrwnwaqyvrohbiih3/IMG_1883.JPG?rlkey=fnhmp76yfhlgscj3zfokcfnq4&amp;dl=0</v>
      </c>
      <c r="E224" t="str">
        <v>N/A</v>
      </c>
      <c r="F224" t="str">
        <v>N/A</v>
      </c>
      <c r="G224" t="str">
        <v>N/A</v>
      </c>
      <c r="H224" t="str">
        <v>N</v>
      </c>
      <c r="I224" t="str">
        <v>S3</v>
      </c>
      <c r="J224" t="str">
        <f>IF(AND(OR(K224="L", K224="M"), OR(L224="H", L224="M"), OR(M224="H", M224="M")),"Y","N")</f>
        <v>Y</v>
      </c>
      <c r="K224" t="str">
        <v>L</v>
      </c>
      <c r="L224" t="str">
        <v>M</v>
      </c>
      <c r="M224" t="str">
        <v>M</v>
      </c>
    </row>
    <row r="225">
      <c r="A225" t="str">
        <v>Psalms 35:9</v>
      </c>
      <c r="B225" t="str">
        <v>Lotus and gold fish pond</v>
      </c>
      <c r="C225">
        <v>44907</v>
      </c>
      <c r="D225" t="str">
        <v>https://www.dropbox.com/scl/fi/liqx9zoe1fhfzcs9bnelw/IMG_1885.JPG?rlkey=ienhdsch3nb7oy148tme83rpz&amp;dl=0</v>
      </c>
      <c r="E225" t="str">
        <v>N/A</v>
      </c>
      <c r="F225" t="str">
        <v>N/A</v>
      </c>
      <c r="G225" t="str">
        <v>N/A</v>
      </c>
      <c r="H225" t="str">
        <v>N</v>
      </c>
      <c r="I225" t="str">
        <v>S1</v>
      </c>
      <c r="J225" t="str">
        <f>IF(AND(OR(K225="L", K225="M"), OR(L225="H", L225="M"), OR(M225="H", M225="M")),"Y","N")</f>
        <v>Y</v>
      </c>
      <c r="K225" t="str">
        <v>L</v>
      </c>
      <c r="L225" t="str">
        <v>M</v>
      </c>
      <c r="M225" t="str">
        <v>M</v>
      </c>
    </row>
    <row r="226">
      <c r="A226" t="str">
        <v>Psalms 33:12</v>
      </c>
      <c r="B226" t="str">
        <v>Mountain view and villiage</v>
      </c>
      <c r="C226">
        <v>44908</v>
      </c>
      <c r="D226" t="str">
        <v>https://www.dropbox.com/scl/fi/53dmtkvlwvg48uwafp8qs/IMG_1886.JPG?rlkey=wqctw367pjnrt981tqixkd77y&amp;dl=0</v>
      </c>
      <c r="E226" t="str">
        <v>N/A</v>
      </c>
      <c r="F226" t="str">
        <v>N/A</v>
      </c>
      <c r="G226" t="str">
        <v>N/A</v>
      </c>
      <c r="H226" t="str">
        <v>N</v>
      </c>
      <c r="I226" t="str">
        <v>S2</v>
      </c>
      <c r="J226" t="str">
        <f>IF(AND(OR(K226="L", K226="M"), OR(L226="H", L226="M"), OR(M226="H", M226="M")),"Y","N")</f>
        <v>Y</v>
      </c>
      <c r="K226" t="str">
        <v>L</v>
      </c>
      <c r="L226" t="str">
        <v>M</v>
      </c>
      <c r="M226" t="str">
        <v>M</v>
      </c>
    </row>
    <row r="227">
      <c r="A227" t="str">
        <v>Psalms 32:11</v>
      </c>
      <c r="B227" t="str">
        <v>Lotus</v>
      </c>
      <c r="C227">
        <v>44909</v>
      </c>
      <c r="D227" t="str">
        <v>https://www.dropbox.com/scl/fi/b5a3w2juup79xzoyfczt5/IMG_1887.JPG?rlkey=bz7vrtobn1jhznmj121qux6dp&amp;dl=0</v>
      </c>
      <c r="E227" t="str">
        <v>N/A</v>
      </c>
      <c r="F227" t="str">
        <v>N/A</v>
      </c>
      <c r="G227" t="str">
        <v>发去了东南亚了现在，主呀！祝福祢自己的话，我们称义是因信祢！</v>
      </c>
      <c r="H227" t="str">
        <v>N</v>
      </c>
      <c r="I227" t="str">
        <v>S1</v>
      </c>
      <c r="J227" t="str">
        <f>IF(AND(OR(K227="L", K227="M"), OR(L227="H", L227="M"), OR(M227="H", M227="M")),"Y","N")</f>
        <v>Y</v>
      </c>
      <c r="K227" t="str">
        <v>L</v>
      </c>
      <c r="L227" t="str">
        <v>M</v>
      </c>
      <c r="M227" t="str">
        <v>M</v>
      </c>
    </row>
    <row r="228">
      <c r="A228" t="str">
        <v>Jacob 4:7</v>
      </c>
      <c r="B228" t="str">
        <v>Eagle and snake</v>
      </c>
      <c r="C228">
        <v>44911</v>
      </c>
      <c r="D228" t="str">
        <v>https://www.dropbox.com/scl/fi/7nfo9gx344fck4to4nwbm/IMG_1888.JPG?rlkey=0ns3nmcpt381f4k2g224qkjq3&amp;dl=0</v>
      </c>
      <c r="E228" t="str">
        <v>N/A</v>
      </c>
      <c r="F228" t="str">
        <v>N/A</v>
      </c>
      <c r="G228" t="str">
        <v>N/A</v>
      </c>
      <c r="H228" t="str">
        <f>IF(AND(OR(I228="L", I228="M"), OR(J228="H", J228="M"), OR(K228="H", K228="M")),"Y","N")</f>
        <v>N</v>
      </c>
      <c r="I228" t="str">
        <f>IF(AND(OR(J228="L", J228="M"), OR(K228="H", K228="M"), OR(L228="H", L228="M")),"Y","N")</f>
        <v>N</v>
      </c>
      <c r="J228" t="str">
        <f>IF(AND(OR(K228="L", K228="M"), OR(L228="H", L228="M"), OR(M228="H", M228="M")),"Y","N")</f>
        <v>N</v>
      </c>
      <c r="K228" t="str">
        <v>L</v>
      </c>
      <c r="L228" t="str">
        <v>L</v>
      </c>
      <c r="M228" t="str">
        <v>H</v>
      </c>
    </row>
    <row r="229">
      <c r="A229" t="str">
        <v>Psalms 113:2</v>
      </c>
      <c r="B229" t="str">
        <v>Snow pine tree &amp; moon</v>
      </c>
      <c r="C229">
        <v>44912</v>
      </c>
      <c r="D229" t="str">
        <v>https://www.dropbox.com/scl/fi/4k9l25uzp0afawu4rzhd6/IMG_1889.JPG?rlkey=zh6ajwk2yehaxgef5qw7lsnps&amp;dl=0</v>
      </c>
      <c r="E229" t="str">
        <v>N/A</v>
      </c>
      <c r="F229" t="str">
        <v>N/A</v>
      </c>
      <c r="G229" t="str">
        <v>N/A</v>
      </c>
      <c r="H229" t="str">
        <f>IF(AND(OR(I229="L", I229="M"), OR(J229="H", J229="M"), OR(K229="H", K229="M")),"Y","N")</f>
        <v>N</v>
      </c>
      <c r="I229" t="str">
        <f>IF(AND(OR(J229="L", J229="M"), OR(K229="H", K229="M"), OR(L229="H", L229="M")),"Y","N")</f>
        <v>N</v>
      </c>
      <c r="J229" t="str">
        <f>IF(AND(OR(K229="L", K229="M"), OR(L229="H", L229="M"), OR(M229="H", M229="M")),"Y","N")</f>
        <v>N</v>
      </c>
      <c r="K229" t="str">
        <v>L</v>
      </c>
      <c r="L229" t="str">
        <v>L</v>
      </c>
      <c r="M229" t="str">
        <v>H</v>
      </c>
    </row>
    <row r="230">
      <c r="A230" t="str">
        <v>John 15:5</v>
      </c>
      <c r="B230" t="str">
        <v>Grapes</v>
      </c>
      <c r="C230">
        <v>44918</v>
      </c>
      <c r="D230" t="str">
        <v>https://www.dropbox.com/scl/fi/jy3x0gl4mt4rn27vru7ua/IMG_1891.JPG?rlkey=ihxicuolyyrlr1j0yaf06bc35&amp;dl=0</v>
      </c>
      <c r="E230" t="str">
        <v>N/A</v>
      </c>
      <c r="F230" t="str">
        <v>N/A</v>
      </c>
      <c r="G230" t="str">
        <v>N/A</v>
      </c>
      <c r="H230" t="str">
        <f>IF(AND(OR(I230="L", I230="M"), OR(J230="H", J230="M"), OR(K230="H", K230="M")),"Y","N")</f>
        <v>N</v>
      </c>
      <c r="I230" t="str">
        <f>IF(AND(OR(J230="L", J230="M"), OR(K230="H", K230="M"), OR(L230="H", L230="M")),"Y","N")</f>
        <v>N</v>
      </c>
      <c r="J230" t="str">
        <f>IF(AND(OR(K230="L", K230="M"), OR(L230="H", L230="M"), OR(M230="H", M230="M")),"Y","N")</f>
        <v>N</v>
      </c>
      <c r="K230" t="str">
        <v>H</v>
      </c>
      <c r="L230" t="str">
        <v>L</v>
      </c>
      <c r="M230" t="str">
        <v>H</v>
      </c>
    </row>
    <row r="231">
      <c r="A231" t="str">
        <v>Psalms 65:11</v>
      </c>
      <c r="B231" t="str">
        <v>Lamb in snow with pine and plum blossom</v>
      </c>
      <c r="C231">
        <v>44923</v>
      </c>
      <c r="D231" t="str">
        <v>https://www.dropbox.com/scl/fi/f0h33mzqxltwz9kuw0n4v/IMG_1895.JPG?rlkey=bqvt0rsco1v60uily3evi8ysb&amp;dl=0</v>
      </c>
      <c r="E231" t="str">
        <v>【今日福音分享】願耶和華賜福給你，保護你。願耶和華使他的臉光照你，賜恩給你。願耶和華向你仰臉，賜你平安。(民數記 6:24-26 和合本）篆文印章：奇異恩典. 今天是三末，週末月末年末，舊生命抹去；明天是三新，日新月新年新，新生命開啓。告別2022，擁抱2023🙏新年蒙恩🙏福杯滿溢🙏🙏🙏</v>
      </c>
      <c r="F231" t="str">
        <v>N/A</v>
      </c>
      <c r="G231" t="str">
        <v>N/A</v>
      </c>
      <c r="H231" t="str">
        <v>N</v>
      </c>
      <c r="I231" t="str">
        <v>S2</v>
      </c>
      <c r="J231" t="str">
        <f>IF(AND(OR(K231="L", K231="M"), OR(L231="H", L231="M"), OR(M231="H", M231="M")),"Y","N")</f>
        <v>Y</v>
      </c>
      <c r="K231" t="str">
        <v>L</v>
      </c>
      <c r="L231" t="str">
        <v>M</v>
      </c>
      <c r="M231" t="str">
        <v>M</v>
      </c>
    </row>
    <row r="232">
      <c r="A232" t="str">
        <v>Numbers 6:24-26</v>
      </c>
      <c r="B232" t="str">
        <v xml:space="preserve">Mountains </v>
      </c>
      <c r="C232">
        <v>44926</v>
      </c>
      <c r="D232" t="str">
        <v>https://www.dropbox.com/scl/fi/y3zp7z7sll30kq53nzrpl/IMG_1897.JPG?rlkey=k7xziq4o09bn6jk6gv5p6b9p8&amp;dl=0</v>
      </c>
      <c r="E232" t="str">
        <v>N/A</v>
      </c>
      <c r="F232" t="str">
        <v>N/A</v>
      </c>
      <c r="G232" t="str">
        <v>N/A</v>
      </c>
      <c r="H232" t="str">
        <v>N</v>
      </c>
      <c r="I232" t="str">
        <v>S1</v>
      </c>
      <c r="J232" t="str">
        <f>IF(AND(OR(K232="L", K232="M"), OR(L232="H", L232="M"), OR(M232="H", M232="M")),"Y","N")</f>
        <v>Y</v>
      </c>
      <c r="K232" t="str">
        <v>L</v>
      </c>
      <c r="L232" t="str">
        <v>M</v>
      </c>
      <c r="M232" t="str">
        <v>M</v>
      </c>
    </row>
    <row r="233">
      <c r="A233" t="str">
        <v>Psalms 72:3</v>
      </c>
      <c r="B233" t="str">
        <v xml:space="preserve">Snow canyon </v>
      </c>
      <c r="C233">
        <v>44932</v>
      </c>
      <c r="D233" t="str">
        <v>https://www.dropbox.com/scl/fi/fjhj7rchi99mbb1a7pamy/IMG_1899.JPG?rlkey=l7xvm2qnq84ipfileyyuwltni&amp;dl=0</v>
      </c>
      <c r="E233" t="str">
        <v>N/A</v>
      </c>
      <c r="F233" t="str">
        <v>N/A</v>
      </c>
      <c r="G233" t="str">
        <v>N/A</v>
      </c>
      <c r="H233" t="str">
        <v>N</v>
      </c>
      <c r="I233" t="str">
        <v>S2</v>
      </c>
      <c r="J233" t="str">
        <f>IF(AND(OR(K233="L", K233="M"), OR(L233="H", L233="M"), OR(M233="H", M233="M")),"Y","N")</f>
        <v>Y</v>
      </c>
      <c r="K233" t="str">
        <v>L</v>
      </c>
      <c r="L233" t="str">
        <v>M</v>
      </c>
      <c r="M233" t="str">
        <v>M</v>
      </c>
    </row>
    <row r="234">
      <c r="A234" t="str">
        <v>Psalms 92:12</v>
      </c>
      <c r="B234" t="str">
        <v>Palm and pine trees</v>
      </c>
      <c r="C234">
        <v>44933</v>
      </c>
      <c r="D234" t="str">
        <v>https://www.dropbox.com/scl/fi/tm83y3sez2mfysih33ywg/IMG_1901.JPG?rlkey=nf8c6z33rsfufgrzwlwhfxk31&amp;dl=0</v>
      </c>
      <c r="E234" t="str">
        <v>N/A</v>
      </c>
      <c r="F234" t="str">
        <v>N/A</v>
      </c>
      <c r="G234" t="str">
        <v>N/A</v>
      </c>
      <c r="H234" t="str">
        <v>N</v>
      </c>
      <c r="I234" t="str">
        <v>S1</v>
      </c>
      <c r="J234" t="str">
        <f>IF(AND(OR(K234="L", K234="M"), OR(L234="H", L234="M"), OR(M234="H", M234="M")),"Y","N")</f>
        <v>Y</v>
      </c>
      <c r="K234" t="str">
        <v>L</v>
      </c>
      <c r="L234" t="str">
        <v>M</v>
      </c>
      <c r="M234" t="str">
        <v>H</v>
      </c>
    </row>
    <row r="235">
      <c r="A235" t="str">
        <v>Psalms 50:6</v>
      </c>
      <c r="B235" t="str">
        <v>Moutains and lake</v>
      </c>
      <c r="C235">
        <v>44942</v>
      </c>
      <c r="D235" t="str">
        <v>https://www.dropbox.com/scl/fi/ug8lftwuje3iyfnwfbikr/IMG_1902.JPG?rlkey=ectub8exli69xjw1v9puaphxg&amp;dl=0</v>
      </c>
      <c r="E235" t="str">
        <v>N/A</v>
      </c>
      <c r="F235" t="str">
        <v>N/A</v>
      </c>
      <c r="G235" t="str">
        <v>N/A</v>
      </c>
      <c r="H235" t="str">
        <v>N</v>
      </c>
      <c r="I235" t="str">
        <v>S3</v>
      </c>
      <c r="J235" t="str">
        <f>IF(AND(OR(K235="L", K235="M"), OR(L235="H", L235="M"), OR(M235="H", M235="M")),"Y","N")</f>
        <v>Y</v>
      </c>
      <c r="K235" t="str">
        <v>L</v>
      </c>
      <c r="L235" t="str">
        <v>M</v>
      </c>
      <c r="M235" t="str">
        <v>M</v>
      </c>
    </row>
    <row r="236">
      <c r="A236" t="str">
        <v>Psalms 34:22</v>
      </c>
      <c r="B236" t="str">
        <v>Moutains and lake</v>
      </c>
      <c r="C236">
        <v>44944</v>
      </c>
      <c r="D236" t="str">
        <v>https://www.dropbox.com/scl/fi/j7sb987bgnb2j8cpzh49x/IMG_1903.JPG?rlkey=auc86gznbu6f8zpvy4o7cukat&amp;dl=0</v>
      </c>
      <c r="E236" t="str">
        <v>N/A</v>
      </c>
      <c r="F236" t="str">
        <v>N/A</v>
      </c>
      <c r="G236" t="str">
        <v>N/A</v>
      </c>
      <c r="H236" t="str">
        <v>N</v>
      </c>
      <c r="I236" t="str">
        <v>S3</v>
      </c>
      <c r="J236" t="str">
        <f>IF(AND(OR(K236="L", K236="M"), OR(L236="H", L236="M"), OR(M236="H", M236="M")),"Y","N")</f>
        <v>Y</v>
      </c>
      <c r="K236" t="str">
        <v>L</v>
      </c>
      <c r="L236" t="str">
        <v>M</v>
      </c>
      <c r="M236" t="str">
        <v>M</v>
      </c>
    </row>
    <row r="237">
      <c r="A237" t="str">
        <v>Isaiah 43:2</v>
      </c>
      <c r="B237" t="str">
        <v xml:space="preserve">River along the mountains </v>
      </c>
      <c r="C237">
        <v>44960</v>
      </c>
      <c r="D237" t="str">
        <v>https://www.dropbox.com/scl/fi/92h28zu1sjf76bn0r98hx/IMG_1905.JPG?rlkey=rakzwg204s74c743lp8qw9cij&amp;dl=0</v>
      </c>
      <c r="E237" t="str">
        <v>N/A</v>
      </c>
      <c r="F237" t="str">
        <v>N/A</v>
      </c>
      <c r="G237" t="str">
        <v>N/A</v>
      </c>
      <c r="H237" t="str">
        <f>IF(AND(OR(I237="L", I237="M"), OR(J237="H", J237="M"), OR(K237="H", K237="M")),"Y","N")</f>
        <v>N</v>
      </c>
      <c r="I237" t="str">
        <f>IF(AND(OR(J237="L", J237="M"), OR(K237="H", K237="M"), OR(L237="H", L237="M")),"Y","N")</f>
        <v>N</v>
      </c>
      <c r="J237" t="str">
        <f>IF(AND(OR(K237="L", K237="M"), OR(L237="H", L237="M"), OR(M237="H", M237="M")),"Y","N")</f>
        <v>N</v>
      </c>
      <c r="K237" t="str">
        <v>L</v>
      </c>
      <c r="L237" t="str">
        <v>L</v>
      </c>
      <c r="M237" t="str">
        <v>L</v>
      </c>
    </row>
    <row r="238">
      <c r="A238" t="str">
        <v>Exodus 3:6</v>
      </c>
      <c r="B238" t="str">
        <v>Mountains in the cloud</v>
      </c>
      <c r="C238">
        <v>44968</v>
      </c>
      <c r="D238" t="str">
        <v>https://www.dropbox.com/scl/fi/syy4zvai80fyua4kh8saz/IMG_1906.JPG?rlkey=tawe0q4jvtx4r8i81l9pirhxd&amp;dl=0</v>
      </c>
      <c r="E238" t="str">
        <v>N/A</v>
      </c>
      <c r="F238" t="str">
        <v>N/A</v>
      </c>
      <c r="G238" t="str">
        <v>N/A</v>
      </c>
      <c r="H238" t="str">
        <v>N</v>
      </c>
      <c r="I238" t="str">
        <v>S1</v>
      </c>
      <c r="J238" t="str">
        <f>IF(AND(OR(K238="L", K238="M"), OR(L238="H", L238="M"), OR(M238="H", M238="M")),"Y","N")</f>
        <v>Y</v>
      </c>
      <c r="K238" t="str">
        <v>L</v>
      </c>
      <c r="L238" t="str">
        <v>M</v>
      </c>
      <c r="M238" t="str">
        <v>H</v>
      </c>
    </row>
    <row r="239">
      <c r="A239" t="str">
        <v>Mark 12:30</v>
      </c>
      <c r="B239" t="str">
        <v>Banboos</v>
      </c>
      <c r="C239">
        <v>45003</v>
      </c>
      <c r="D239" t="str">
        <v>https://www.dropbox.com/scl/fi/t53widgngwjnwsezh1djo/IMG_1907.JPG?rlkey=vbfuf9aefg6cr25o0a08yb4o0&amp;dl=0</v>
      </c>
      <c r="E239" t="str">
        <v>N/A</v>
      </c>
      <c r="F239" t="str">
        <v>N/A</v>
      </c>
      <c r="G239" t="str">
        <v>N/A</v>
      </c>
      <c r="H239" t="str">
        <v>N</v>
      </c>
      <c r="I239" t="str">
        <v>S3</v>
      </c>
      <c r="J239" t="str">
        <f>IF(AND(OR(K239="L", K239="M"), OR(L239="H", L239="M"), OR(M239="H", M239="M")),"Y","N")</f>
        <v>Y</v>
      </c>
      <c r="K239" t="str">
        <v>M</v>
      </c>
      <c r="L239" t="str">
        <v>M</v>
      </c>
      <c r="M239" t="str">
        <v>H</v>
      </c>
    </row>
    <row r="240">
      <c r="A240" t="str">
        <v>Mark 12:30</v>
      </c>
      <c r="B240" t="str">
        <v>Penoy</v>
      </c>
      <c r="C240">
        <v>45010</v>
      </c>
      <c r="D240" t="str">
        <v>https://www.dropbox.com/scl/fi/63xp2iulmtp5kugpddxet/IMG_1908.JPG?rlkey=yynn9y8csgz4p570ecqwvrsap&amp;dl=0</v>
      </c>
      <c r="E240" t="str">
        <v>N/A</v>
      </c>
      <c r="F240" t="str">
        <v>N/A</v>
      </c>
      <c r="G240" t="str">
        <v>N/A</v>
      </c>
      <c r="H240" t="str">
        <v>N</v>
      </c>
      <c r="I240" t="str">
        <v>S3</v>
      </c>
      <c r="J240" t="str">
        <f>IF(AND(OR(K240="L", K240="M"), OR(L240="H", L240="M"), OR(M240="H", M240="M")),"Y","N")</f>
        <v>Y</v>
      </c>
      <c r="K240" t="str">
        <v>M</v>
      </c>
      <c r="L240" t="str">
        <v>M</v>
      </c>
      <c r="M240" t="str">
        <v>H</v>
      </c>
    </row>
    <row r="241">
      <c r="A241" t="str">
        <v>John 11:25</v>
      </c>
      <c r="B241" t="str">
        <v>Pine tree</v>
      </c>
      <c r="C241">
        <v>45024</v>
      </c>
      <c r="D241" t="str">
        <v>https://www.dropbox.com/scl/fi/03qtuximp8qmxgua83zo4/IMG_1910.JPG?rlkey=tavle0d7284pwp7x6qzqspozy&amp;dl=0</v>
      </c>
      <c r="E241" t="str">
        <v>N/A</v>
      </c>
      <c r="F241" t="str">
        <v>N/A</v>
      </c>
      <c r="G241" t="str">
        <v>N/A</v>
      </c>
      <c r="H241" t="str">
        <v>N</v>
      </c>
      <c r="I241" t="str">
        <v>S3</v>
      </c>
      <c r="J241" t="str">
        <f>IF(AND(OR(K241="L", K241="M"), OR(L241="H", L241="M"), OR(M241="H", M241="M")),"Y","N")</f>
        <v>Y</v>
      </c>
      <c r="K241" t="str">
        <v>M</v>
      </c>
      <c r="L241" t="str">
        <v>M</v>
      </c>
      <c r="M241" t="str">
        <v>H</v>
      </c>
    </row>
    <row r="242">
      <c r="A242" t="str">
        <v>Song of Solomon 7:12</v>
      </c>
      <c r="B242" t="str">
        <v xml:space="preserve">Grapes </v>
      </c>
      <c r="C242">
        <v>45059</v>
      </c>
      <c r="D242" t="str">
        <v>https://www.dropbox.com/scl/fi/h27eq4zjer6135gk7lxps/IMG_1913.JPG?rlkey=0sv3h3j89w4w65dqc97c2887a&amp;dl=0</v>
      </c>
      <c r="E242" t="str">
        <v>N/A</v>
      </c>
      <c r="F242" t="str">
        <v>N/A</v>
      </c>
      <c r="G242" t="str">
        <v>N/A</v>
      </c>
      <c r="H242" t="str">
        <v>N</v>
      </c>
      <c r="I242" t="str">
        <v>S3</v>
      </c>
      <c r="J242" t="str">
        <f>IF(AND(OR(K242="L", K242="M"), OR(L242="H", L242="M"), OR(M242="H", M242="M")),"Y","N")</f>
        <v>Y</v>
      </c>
      <c r="K242" t="str">
        <v>M</v>
      </c>
      <c r="L242" t="str">
        <v>M</v>
      </c>
      <c r="M242" t="str">
        <v>H</v>
      </c>
    </row>
    <row r="243">
      <c r="A243" t="str">
        <v>Glory to Jesus</v>
      </c>
      <c r="B243" t="str">
        <v>Peony and bees</v>
      </c>
      <c r="C243">
        <v>45094</v>
      </c>
      <c r="D243" t="str">
        <v>https://www.dropbox.com/scl/fi/v6jpvvoqihzwy4bdz5e8z/IMG_1916.JPG?rlkey=xvgccyi3ljh9db0jdpsxedj2c&amp;dl=0</v>
      </c>
      <c r="E243" t="str">
        <v>N/A</v>
      </c>
      <c r="F243" t="str">
        <v>N/A</v>
      </c>
      <c r="G243" t="str">
        <v>N/A</v>
      </c>
      <c r="H243" t="str">
        <v>N</v>
      </c>
      <c r="I243" t="str">
        <v>S1</v>
      </c>
      <c r="J243" t="str">
        <f>IF(AND(OR(K243="L", K243="M"), OR(L243="H", L243="M"), OR(M243="H", M243="M")),"Y","N")</f>
        <v>Y</v>
      </c>
      <c r="K243" t="str">
        <v>L</v>
      </c>
      <c r="L243" t="str">
        <v>M</v>
      </c>
      <c r="M243" t="str">
        <v>H</v>
      </c>
    </row>
    <row r="244">
      <c r="A244" t="str">
        <v>Galatians 5:22-23a</v>
      </c>
      <c r="B244" t="str">
        <v>Peaches</v>
      </c>
      <c r="C244">
        <v>45094</v>
      </c>
      <c r="D244" t="str">
        <v>https://www.dropbox.com/scl/fi/6yri9fwaudt66zk2isli0/IMG_1915.JPG?rlkey=ut4usechropue56o0ck71ktrb&amp;dl=0</v>
      </c>
      <c r="E244" t="str">
        <v>N/A</v>
      </c>
      <c r="F244" t="str">
        <v>N/A</v>
      </c>
      <c r="G244" t="str">
        <v>N/A</v>
      </c>
      <c r="H244" t="str">
        <v>N</v>
      </c>
      <c r="I244" t="str">
        <v>S1</v>
      </c>
      <c r="J244" t="str">
        <f>IF(AND(OR(K244="L", K244="M"), OR(L244="H", L244="M"), OR(M244="H", M244="M")),"Y","N")</f>
        <v>Y</v>
      </c>
      <c r="K244" t="str">
        <v>M</v>
      </c>
      <c r="L244" t="str">
        <v>M</v>
      </c>
      <c r="M244" t="str">
        <v>H</v>
      </c>
    </row>
    <row r="245">
      <c r="A245" t="str">
        <v>Isaiah 55:1</v>
      </c>
      <c r="B245" t="str">
        <v>Waterfall</v>
      </c>
      <c r="C245">
        <v>45115</v>
      </c>
      <c r="D245" t="str">
        <v>https://www.dropbox.com/scl/fi/vyuplr3y30xnwwno8fetp/IMG_1917.JPG?rlkey=d09h1ybpicnmjayutel3vcgos&amp;dl=0</v>
      </c>
      <c r="E245" t="str">
        <v>N/A</v>
      </c>
      <c r="F245" t="str">
        <v>N/A</v>
      </c>
      <c r="G245" t="str">
        <v>N/A</v>
      </c>
      <c r="H245" t="str">
        <v>N</v>
      </c>
      <c r="I245" t="str">
        <v>S3</v>
      </c>
      <c r="J245" t="str">
        <f>IF(AND(OR(K245="L", K245="M"), OR(L245="H", L245="M"), OR(M245="H", M245="M")),"Y","N")</f>
        <v>Y</v>
      </c>
      <c r="K245" t="str">
        <v>L</v>
      </c>
      <c r="L245" t="str">
        <v>M</v>
      </c>
      <c r="M245" t="str">
        <v>M</v>
      </c>
    </row>
    <row r="246">
      <c r="A246" t="str">
        <v>Psalms 121:1-2</v>
      </c>
      <c r="B246" t="str">
        <v>Mountains</v>
      </c>
      <c r="C246">
        <v>45129</v>
      </c>
      <c r="D246" t="str">
        <v>https://www.dropbox.com/scl/fi/13dn1jo0iglrpct38y0qd/IMG_1918.JPG?rlkey=h02m1s6x81xtl46zy8jjur7x0&amp;dl=0</v>
      </c>
      <c r="E246" t="str">
        <v>N/A</v>
      </c>
      <c r="F246" t="str">
        <v>N/A</v>
      </c>
      <c r="G246" t="str">
        <v>N/A</v>
      </c>
      <c r="H246" t="str">
        <f>IF(AND(OR(I246="L", I246="M"), OR(J246="H", J246="M"), OR(K246="H", K246="M")),"Y","N")</f>
        <v>N</v>
      </c>
      <c r="I246" t="str">
        <f>IF(AND(OR(J246="L", J246="M"), OR(K246="H", K246="M"), OR(L246="H", L246="M")),"Y","N")</f>
        <v>N</v>
      </c>
      <c r="J246" t="str">
        <f>IF(AND(OR(K246="L", K246="M"), OR(L246="H", L246="M"), OR(M246="H", M246="M")),"Y","N")</f>
        <v>N</v>
      </c>
      <c r="K246" t="str">
        <v>M</v>
      </c>
      <c r="L246" t="str">
        <v>L</v>
      </c>
      <c r="M246" t="str">
        <v>M</v>
      </c>
    </row>
    <row r="247">
      <c r="A247" t="str">
        <v>Isaiah 60:2</v>
      </c>
      <c r="B247" t="str">
        <v>Lotus in the dark</v>
      </c>
      <c r="C247">
        <v>45147</v>
      </c>
      <c r="D247" t="str">
        <v>https://www.dropbox.com/scl/fi/mnlp080b5qfoszjrtw94d/IMG_1920.JPG?rlkey=8sjd1uvlvu140yga96fhw0w0i&amp;dl=0</v>
      </c>
      <c r="E247" t="str">
        <v>N/A</v>
      </c>
      <c r="F247" t="str">
        <v>N/A</v>
      </c>
      <c r="G247" t="str">
        <v>N/A</v>
      </c>
      <c r="H247" t="str">
        <v>N</v>
      </c>
      <c r="I247" t="str">
        <v>S1</v>
      </c>
      <c r="J247" t="str">
        <f>IF(AND(OR(K247="L", K247="M"), OR(L247="H", L247="M"), OR(M247="H", M247="M")),"Y","N")</f>
        <v>Y</v>
      </c>
      <c r="K247" t="str">
        <v>L</v>
      </c>
      <c r="L247" t="str">
        <v>M</v>
      </c>
      <c r="M247" t="str">
        <v>M</v>
      </c>
    </row>
    <row r="248">
      <c r="A248" t="str">
        <v>Matthew 5:8</v>
      </c>
      <c r="B248" t="str">
        <v>Sister on a boat</v>
      </c>
      <c r="C248">
        <v>45157</v>
      </c>
      <c r="D248" t="str">
        <v>https://www.dropbox.com/scl/fi/dxzg61lubl4zuodspa3eo/IMG_1922.JPG?rlkey=zfdhwfpgeub717p3nss60itwx&amp;dl=0</v>
      </c>
      <c r="E248" t="str">
        <v>N/A</v>
      </c>
      <c r="F248" t="str">
        <v>N/A</v>
      </c>
      <c r="G248" t="str">
        <v>N/A</v>
      </c>
      <c r="H248" t="str">
        <f>IF(AND(OR(I248="L", I248="M"), OR(J248="H", J248="M"), OR(K248="H", K248="M")),"Y","N")</f>
        <v>N</v>
      </c>
      <c r="I248" t="str">
        <f>IF(AND(OR(J248="L", J248="M"), OR(K248="H", K248="M"), OR(L248="H", L248="M")),"Y","N")</f>
        <v>N</v>
      </c>
      <c r="J248" t="str">
        <f>IF(AND(OR(K248="L", K248="M"), OR(L248="H", L248="M"), OR(M248="H", M248="M")),"Y","N")</f>
        <v>N</v>
      </c>
      <c r="K248" t="str">
        <v>M</v>
      </c>
      <c r="L248" t="str">
        <v>L</v>
      </c>
      <c r="M248" t="str">
        <v>H</v>
      </c>
    </row>
    <row r="249">
      <c r="A249" t="str">
        <v>Psalms 46:7</v>
      </c>
      <c r="B249" t="str">
        <v>Hurricane in Florida</v>
      </c>
      <c r="C249">
        <v>45171</v>
      </c>
      <c r="D249" t="str">
        <v>https://www.dropbox.com/scl/fi/b5pe1wxvja4rj0ctzypo3/IMG_1923.JPG?rlkey=173x89sxnt2ldvifounpbsexe&amp;dl=0</v>
      </c>
      <c r="E249" t="str">
        <v>N/A</v>
      </c>
      <c r="F249" t="str">
        <v>N/A</v>
      </c>
      <c r="G249" t="str">
        <v>N/A</v>
      </c>
      <c r="H249" t="str">
        <f>IF(AND(OR(I249="L", I249="M"), OR(J249="H", J249="M"), OR(K249="H", K249="M")),"Y","N")</f>
        <v>N</v>
      </c>
      <c r="I249" t="str">
        <f>IF(AND(OR(J249="L", J249="M"), OR(K249="H", K249="M"), OR(L249="H", L249="M")),"Y","N")</f>
        <v>N</v>
      </c>
      <c r="J249" t="str">
        <f>IF(AND(OR(K249="L", K249="M"), OR(L249="H", L249="M"), OR(M249="H", M249="M")),"Y","N")</f>
        <v>N</v>
      </c>
      <c r="K249" t="str">
        <v>L</v>
      </c>
      <c r="L249" t="str">
        <v>L</v>
      </c>
      <c r="M249" t="str">
        <v>H</v>
      </c>
    </row>
    <row r="250">
      <c r="A250" t="str">
        <v>Proverbs 10:22</v>
      </c>
      <c r="B250" t="str">
        <v>Grapes on the vines</v>
      </c>
      <c r="C250">
        <v>45171</v>
      </c>
      <c r="D250" t="str">
        <v>https://www.dropbox.com/scl/fi/i6hrwt109cb5eghrglid5/IMG_1924.JPG?rlkey=3i53es3cbqrp83ddfn3bb891n&amp;dl=0</v>
      </c>
      <c r="E250" t="str">
        <v>N/A</v>
      </c>
      <c r="F250" t="str">
        <v>N/A</v>
      </c>
      <c r="G250" t="str">
        <v>N/A</v>
      </c>
      <c r="H250" t="str">
        <v>N</v>
      </c>
      <c r="I250" t="str">
        <v>S1</v>
      </c>
      <c r="J250" t="str">
        <f>IF(AND(OR(K250="L", K250="M"), OR(L250="H", L250="M"), OR(M250="H", M250="M")),"Y","N")</f>
        <v>Y</v>
      </c>
      <c r="K250" t="str">
        <v>M</v>
      </c>
      <c r="L250" t="str">
        <v>M</v>
      </c>
      <c r="M250" t="str">
        <v>M</v>
      </c>
    </row>
    <row r="251">
      <c r="A251" t="str">
        <v>Isaiah 40:8</v>
      </c>
      <c r="B251" t="str">
        <v>Wild flowers</v>
      </c>
      <c r="C251">
        <v>45176</v>
      </c>
      <c r="D251" t="str">
        <v>https://www.dropbox.com/scl/fi/owkg019kajbtay22qrn7q/IMG_1926.JPG?rlkey=7pppxssf63zssphqdb82v6lro&amp;dl=0</v>
      </c>
      <c r="E251" t="str">
        <v>N/A</v>
      </c>
      <c r="F251" t="str">
        <v>N/A</v>
      </c>
      <c r="G251" t="str">
        <v>N/A</v>
      </c>
      <c r="H251" t="str">
        <f>IF(AND(OR(I251="L", I251="M"), OR(J251="H", J251="M"), OR(K251="H", K251="M")),"Y","N")</f>
        <v>N</v>
      </c>
      <c r="I251" t="str">
        <f>IF(AND(OR(J251="L", J251="M"), OR(K251="H", K251="M"), OR(L251="H", L251="M")),"Y","N")</f>
        <v>N</v>
      </c>
      <c r="J251" t="str">
        <f>IF(AND(OR(K251="L", K251="M"), OR(L251="H", L251="M"), OR(M251="H", M251="M")),"Y","N")</f>
        <v>N</v>
      </c>
      <c r="K251" t="str">
        <v>L</v>
      </c>
      <c r="L251" t="str">
        <v>L</v>
      </c>
      <c r="M251" t="str">
        <v>H</v>
      </c>
    </row>
    <row r="252">
      <c r="A252" t="str">
        <v>Matthew 5:8</v>
      </c>
      <c r="B252" t="str">
        <v>Lotus</v>
      </c>
      <c r="C252">
        <v>45176</v>
      </c>
      <c r="D252" t="str">
        <v>https://www.dropbox.com/scl/fi/ofsd9fjfmwdldwl0zk4f3/IMG_1930.JPG?rlkey=rf1o7ak52bapdzj10o3l6e9tj&amp;dl=0</v>
      </c>
      <c r="E252" t="str">
        <v>N/A</v>
      </c>
      <c r="F252" t="str">
        <v>以弗所書5:16要爱惜光阴，因为现今的世代邪恶。歌罗西书4:5你们要爱惜光阴，用智慧与外人交往。传道书 3:1凡事都有定期，天下万务都有定时。</v>
      </c>
      <c r="G252" t="str">
        <v>N/A</v>
      </c>
      <c r="H252" t="str">
        <f>IF(AND(OR(I252="L", I252="M"), OR(J252="H", J252="M"), OR(K252="H", K252="M")),"Y","N")</f>
        <v>N</v>
      </c>
      <c r="I252" t="str">
        <f>IF(AND(OR(J252="L", J252="M"), OR(K252="H", K252="M"), OR(L252="H", L252="M")),"Y","N")</f>
        <v>N</v>
      </c>
      <c r="J252" t="str">
        <f>IF(AND(OR(K252="L", K252="M"), OR(L252="H", L252="M"), OR(M252="H", M252="M")),"Y","N")</f>
        <v>N</v>
      </c>
      <c r="K252" t="str">
        <v>M</v>
      </c>
      <c r="L252" t="str">
        <v>L</v>
      </c>
      <c r="M252" t="str">
        <v>M</v>
      </c>
    </row>
    <row r="253">
      <c r="A253" t="str">
        <v>Matthew 7:8</v>
      </c>
      <c r="B253" t="str">
        <v>Cherry blossom surrounding a home</v>
      </c>
      <c r="C253">
        <v>45176</v>
      </c>
      <c r="D253" t="str">
        <v>https://www.dropbox.com/scl/fi/mjj4ngg5w93ebglm1uynf/IMG_1927.JPG?rlkey=tb984dfhy4zorbq0ic6m6d1uw&amp;dl=0</v>
      </c>
      <c r="E253" t="str">
        <v>N/A</v>
      </c>
      <c r="F253" t="str">
        <v>N/A</v>
      </c>
      <c r="G253" t="str">
        <v>N/A</v>
      </c>
      <c r="H253" t="str">
        <v>N</v>
      </c>
      <c r="I253" t="str">
        <v>S3</v>
      </c>
      <c r="J253" t="str">
        <f>IF(AND(OR(K253="L", K253="M"), OR(L253="H", L253="M"), OR(M253="H", M253="M")),"Y","N")</f>
        <v>Y</v>
      </c>
      <c r="K253" t="str">
        <v>L</v>
      </c>
      <c r="L253" t="str">
        <v>M</v>
      </c>
      <c r="M253" t="str">
        <v>H</v>
      </c>
    </row>
    <row r="254">
      <c r="A254" t="str">
        <v>Psalms 110:2</v>
      </c>
      <c r="B254" t="str">
        <v>Waterfall in the mountains</v>
      </c>
      <c r="C254">
        <v>45179</v>
      </c>
      <c r="D254" t="str">
        <v>https://www.dropbox.com/scl/fi/7b67zvsn45jfx8j0mbx4k/IMG_1932.JPG?rlkey=o0svqp029m28pn7ldli0j7l6w&amp;dl=0</v>
      </c>
      <c r="E254" t="str">
        <v>N/A</v>
      </c>
      <c r="F254" t="str">
        <v>N/A</v>
      </c>
      <c r="G254" t="str">
        <v>N/A</v>
      </c>
      <c r="H254" t="str">
        <v>N</v>
      </c>
      <c r="I254" t="str">
        <v>S2</v>
      </c>
      <c r="J254" t="str">
        <f>IF(AND(OR(K254="L", K254="M"), OR(L254="H", L254="M"), OR(M254="H", M254="M")),"Y","N")</f>
        <v>Y</v>
      </c>
      <c r="K254" t="str">
        <v>L</v>
      </c>
      <c r="L254" t="str">
        <v>M</v>
      </c>
      <c r="M254" t="str">
        <v>M</v>
      </c>
    </row>
    <row r="255">
      <c r="A255" t="str">
        <v>1 Corinthians 13:4</v>
      </c>
      <c r="B255" t="str">
        <v>Lotus</v>
      </c>
      <c r="C255">
        <v>45187</v>
      </c>
      <c r="D255" t="str">
        <v>https://www.dropbox.com/scl/fi/s6nhim7odw0xv5mjuqezt/IMG_1936.JPG?rlkey=i66pk5w3i8gzg6fxlwf0gnb6o&amp;dl=0</v>
      </c>
      <c r="E255" t="str">
        <v>一群蜜蜂扑过来，对花蕾是需要持久忍耐的，但恩慈会酿成蜂蜜。“爱”字在莲斗底下，不与莲花争妍，不嫉妒、不自夸、不张狂。是经文的后半部分，虽没有空间写了，但愿画进寓意中了。与大家一起勉励。愿神祝福每一位。[Worship]</v>
      </c>
      <c r="F255" t="str">
        <v>N/A</v>
      </c>
      <c r="G255" t="str">
        <v>N/A</v>
      </c>
      <c r="H255" t="str">
        <v>N</v>
      </c>
      <c r="I255" t="str">
        <v>S1</v>
      </c>
      <c r="J255" t="str">
        <f>IF(AND(OR(K255="L", K255="M"), OR(L255="H", L255="M"), OR(M255="H", M255="M")),"Y","N")</f>
        <v>Y</v>
      </c>
      <c r="K255" t="str">
        <v>M</v>
      </c>
      <c r="L255" t="str">
        <v>M</v>
      </c>
      <c r="M255" t="str">
        <v>H</v>
      </c>
    </row>
    <row r="256">
      <c r="A256" t="str">
        <v>Psalms 85:11</v>
      </c>
      <c r="B256" t="str">
        <v>Eagle in waterfall background</v>
      </c>
      <c r="C256">
        <v>45190</v>
      </c>
      <c r="D256" t="str">
        <v>https://www.dropbox.com/scl/fi/1g740bty0kidvt3sbov3b/IMG_1937.JPG?rlkey=t0eao53d7s7r2lckk7ehetdxh&amp;dl=0</v>
      </c>
      <c r="E256" t="str">
        <v>N/A</v>
      </c>
      <c r="F256" t="str">
        <v>N/A</v>
      </c>
      <c r="G256" t="str">
        <v>N/A</v>
      </c>
      <c r="H256" t="str">
        <v>N</v>
      </c>
      <c r="I256" t="str">
        <v>S2</v>
      </c>
      <c r="J256" t="str">
        <f>IF(AND(OR(K256="L", K256="M"), OR(L256="H", L256="M"), OR(M256="H", M256="M")),"Y","N")</f>
        <v>Y</v>
      </c>
      <c r="K256" t="str">
        <v>L</v>
      </c>
      <c r="L256" t="str">
        <v>M</v>
      </c>
      <c r="M256" t="str">
        <v>M</v>
      </c>
    </row>
    <row r="257">
      <c r="A257" t="str">
        <v>Psalms 23:3</v>
      </c>
      <c r="B257" t="str">
        <v xml:space="preserve">Water path and floral soul </v>
      </c>
      <c r="C257">
        <v>45211</v>
      </c>
      <c r="D257" t="str">
        <v>https://www.dropbox.com/scl/fi/jrcd85x5ovn3ruuy9k7lk/IMG_1941.JPG?rlkey=t6webr99leqdgvr1pcieh2ye6&amp;dl=0</v>
      </c>
      <c r="E257" t="str">
        <v>N/A</v>
      </c>
      <c r="F257" t="str">
        <v>N/A</v>
      </c>
      <c r="G257" t="str">
        <v>这是给东南亚地区的聖徒，那地已经是主日清晨五点了。小敏诗歌早晨五点钟已有祈祷声！</v>
      </c>
      <c r="H257" t="str">
        <v>N</v>
      </c>
      <c r="I257" t="str">
        <v>S3</v>
      </c>
      <c r="J257" t="str">
        <f>IF(AND(OR(K257="L", K257="M"), OR(L257="H", L257="M"), OR(M257="H", M257="M")),"Y","N")</f>
        <v>Y</v>
      </c>
      <c r="K257" t="str">
        <v>L</v>
      </c>
      <c r="L257" t="str">
        <v>M</v>
      </c>
      <c r="M257" t="str">
        <v>H</v>
      </c>
    </row>
    <row r="258">
      <c r="A258" t="str">
        <v>Psalms 130:7</v>
      </c>
      <c r="B258" t="str">
        <v>Mountain and lake in autumn</v>
      </c>
      <c r="C258">
        <v>45227</v>
      </c>
      <c r="D258" t="str">
        <v>https://www.dropbox.com/scl/fi/3pl7qo8bh8h0dhy9fa62o/IMG_1942.JPG?rlkey=7zn2vq9y6i6rfuao94ntjy8qv&amp;dl=0</v>
      </c>
      <c r="E258" t="str">
        <v>N/A</v>
      </c>
      <c r="F258" t="str">
        <v>对以色列的呼唤，就是对全人类的！祂的慈爱和豐盛在基督里已向我们顯现！诗篇130:7 很受欢迎！</v>
      </c>
      <c r="G258" t="str">
        <v>N/A</v>
      </c>
      <c r="H258" t="str">
        <v>N</v>
      </c>
      <c r="I258" t="str">
        <v>S2</v>
      </c>
      <c r="J258" t="str">
        <f>IF(AND(OR(K258="L", K258="M"), OR(L258="H", L258="M"), OR(M258="H", M258="M")),"Y","N")</f>
        <v>Y</v>
      </c>
      <c r="K258" t="str">
        <v>L</v>
      </c>
      <c r="L258" t="str">
        <v>M</v>
      </c>
      <c r="M258" t="str">
        <v>M</v>
      </c>
    </row>
    <row r="259">
      <c r="A259" t="str">
        <v>Isaiah 55:9</v>
      </c>
      <c r="B259" t="str">
        <v>Sky and path in an autumn forest</v>
      </c>
      <c r="C259">
        <v>45241</v>
      </c>
      <c r="D259" t="str">
        <v>https://www.dropbox.com/scl/fi/aowv11wzz4z3v7gj5km0c/IMG_1943.JPG?rlkey=0ccdrnl4kmy5yxka8l6nvb993&amp;dl=0</v>
      </c>
      <c r="E259" t="str">
        <v>N/A</v>
      </c>
      <c r="F259" t="str">
        <v>N/A</v>
      </c>
      <c r="G259" t="str">
        <v>N/A</v>
      </c>
      <c r="H259" t="str">
        <v>N</v>
      </c>
      <c r="I259" t="str">
        <v>S2</v>
      </c>
      <c r="J259" t="str">
        <f>IF(AND(OR(K259="L", K259="M"), OR(L259="H", L259="M"), OR(M259="H", M259="M")),"Y","N")</f>
        <v>Y</v>
      </c>
      <c r="K259" t="str">
        <v>L</v>
      </c>
      <c r="L259" t="str">
        <v>M</v>
      </c>
      <c r="M259" t="str">
        <v>M</v>
      </c>
    </row>
    <row r="260">
      <c r="A260" t="str">
        <v>Psalms 4:5</v>
      </c>
      <c r="B260" t="str">
        <v>Red-crowned cranes</v>
      </c>
      <c r="C260">
        <v>45262</v>
      </c>
      <c r="D260" t="str">
        <v>https://www.dropbox.com/scl/fi/qme7ej7v4ebsn4uxmccwz/IMG_1946.JPG?rlkey=1156snlz69vdxhbupi01hrtgy&amp;dl=0</v>
      </c>
      <c r="E260" t="str">
        <v>N/A</v>
      </c>
      <c r="F260" t="str">
        <v>N/A</v>
      </c>
      <c r="G260" t="str">
        <v>N/A</v>
      </c>
      <c r="H260" t="str">
        <v>N</v>
      </c>
      <c r="I260" t="str">
        <v>S2</v>
      </c>
      <c r="J260" t="str">
        <f>IF(AND(OR(K260="L", K260="M"), OR(L260="H", L260="M"), OR(M260="H", M260="M")),"Y","N")</f>
        <v>Y</v>
      </c>
      <c r="K260" t="str">
        <v>L</v>
      </c>
      <c r="L260" t="str">
        <v>M</v>
      </c>
      <c r="M260" t="str">
        <v>M</v>
      </c>
    </row>
    <row r="261">
      <c r="A261" t="str">
        <v>1 Corinthians 13:6</v>
      </c>
      <c r="B261" t="str">
        <v>Plum blossom</v>
      </c>
      <c r="C261">
        <v>45269</v>
      </c>
      <c r="D261" t="str">
        <v>https://www.dropbox.com/scl/fi/7kj57r682ovrq19ypad53/IMG_1947.JPG?rlkey=jzjipo3seiis20fliii2nhiba&amp;dl=0</v>
      </c>
      <c r="E261" t="str">
        <v>N/A</v>
      </c>
      <c r="F261" t="str">
        <v>N/A</v>
      </c>
      <c r="G261" t="str">
        <v>N/A</v>
      </c>
      <c r="H261" t="str">
        <f>IF(AND(OR(I261="L", I261="M"), OR(J261="H", J261="M"), OR(K261="H", K261="M")),"Y","N")</f>
        <v>N</v>
      </c>
      <c r="I261" t="str">
        <f>IF(AND(OR(J261="L", J261="M"), OR(K261="H", K261="M"), OR(L261="H", L261="M")),"Y","N")</f>
        <v>N</v>
      </c>
      <c r="J261" t="str">
        <f>IF(AND(OR(K261="L", K261="M"), OR(L261="H", L261="M"), OR(M261="H", M261="M")),"Y","N")</f>
        <v>N</v>
      </c>
      <c r="K261" t="str">
        <v>M</v>
      </c>
      <c r="L261" t="str">
        <v>L</v>
      </c>
      <c r="M261" t="str">
        <v>H</v>
      </c>
    </row>
    <row r="262">
      <c r="A262" t="str">
        <v>Psalms 25:5</v>
      </c>
      <c r="B262" t="str">
        <v>Home in the wilderness</v>
      </c>
      <c r="C262">
        <v>45270</v>
      </c>
      <c r="D262" t="str">
        <v>https://www.dropbox.com/scl/fi/xe7lo4fx3wka3yxr87eix/IMG_1949.JPG?rlkey=efkav2ypzzsnqyq0uw3vjbs31&amp;dl=0</v>
      </c>
      <c r="E262" t="str">
        <v>N/A</v>
      </c>
      <c r="F262" t="str">
        <v>N/A</v>
      </c>
      <c r="G262" t="str">
        <v>N/A</v>
      </c>
      <c r="H262" t="str">
        <f>IF(AND(OR(I262="L", I262="M"), OR(J262="H", J262="M"), OR(K262="H", K262="M")),"Y","N")</f>
        <v>N</v>
      </c>
      <c r="I262" t="str">
        <f>IF(AND(OR(J262="L", J262="M"), OR(K262="H", K262="M"), OR(L262="H", L262="M")),"Y","N")</f>
        <v>N</v>
      </c>
      <c r="J262" t="str">
        <f>IF(AND(OR(K262="L", K262="M"), OR(L262="H", L262="M"), OR(M262="H", M262="M")),"Y","N")</f>
        <v>N</v>
      </c>
      <c r="K262" t="str">
        <v>L</v>
      </c>
      <c r="L262" t="str">
        <v>L</v>
      </c>
      <c r="M262" t="str">
        <v>H</v>
      </c>
    </row>
    <row r="263">
      <c r="A263" t="str">
        <v>Psalms 25:4</v>
      </c>
      <c r="B263" t="str">
        <v>Path in the wilderness</v>
      </c>
      <c r="C263">
        <v>45270</v>
      </c>
      <c r="D263" t="str">
        <v>https://www.dropbox.com/scl/fi/frydzqpq48nme4l4d7xa8/IMG_1948.JPG?rlkey=k6o79y7otjjmdkecqh6u3zvhc&amp;dl=0</v>
      </c>
      <c r="E263" t="str">
        <v>N/A</v>
      </c>
      <c r="F263" t="str">
        <v>N/A</v>
      </c>
      <c r="G263" t="str">
        <v>N/A</v>
      </c>
      <c r="H263" t="str">
        <v>N</v>
      </c>
      <c r="I263" t="str">
        <v>S1</v>
      </c>
      <c r="J263" t="str">
        <f>IF(AND(OR(K263="L", K263="M"), OR(L263="H", L263="M"), OR(M263="H", M263="M")),"Y","N")</f>
        <v>Y</v>
      </c>
      <c r="K263" t="str">
        <v>L</v>
      </c>
      <c r="L263" t="str">
        <v>M</v>
      </c>
      <c r="M263" t="str">
        <v>M</v>
      </c>
    </row>
    <row r="264">
      <c r="A264" t="str">
        <v>Psalms 65:11</v>
      </c>
      <c r="B264" t="str">
        <v xml:space="preserve">Gospel painting/calligraphy 3yr anniversary of </v>
      </c>
      <c r="C264">
        <v>45275</v>
      </c>
      <c r="D264" t="str">
        <v>https://www.dropbox.com/scl/fi/lxkx7w31so7jq2i1xyonb/IMG_1950.JPG?rlkey=vku7eyvvgt86n8mw5q3uoo13t&amp;dl=0</v>
      </c>
      <c r="E264" t="str">
        <v>N/A</v>
      </c>
      <c r="F264" t="str">
        <v>N/A</v>
      </c>
      <c r="G264" t="str">
        <v>N/A</v>
      </c>
      <c r="H264" t="str">
        <v>N</v>
      </c>
      <c r="I264" t="str">
        <v>S1</v>
      </c>
      <c r="J264" t="str">
        <f>IF(AND(OR(K264="L", K264="M"), OR(L264="H", L264="M"), OR(M264="H", M264="M")),"Y","N")</f>
        <v>Y</v>
      </c>
      <c r="K264" t="str">
        <v>L</v>
      </c>
      <c r="L264" t="str">
        <v>M</v>
      </c>
      <c r="M264" t="str">
        <v>H</v>
      </c>
    </row>
    <row r="265">
      <c r="A265" t="str">
        <v>Luke 1:78-79</v>
      </c>
      <c r="B265" t="str">
        <v>Trees in sunrise</v>
      </c>
      <c r="C265">
        <v>45277</v>
      </c>
      <c r="D265" t="str">
        <v>https://www.dropbox.com/scl/fi/iq5h4hoct0f3n9qp6s8td/IMG_1952.JPG?rlkey=988zcdeztw9rc0isktfbi27fc&amp;dl=0</v>
      </c>
      <c r="E265" t="str">
        <v>N/A</v>
      </c>
      <c r="F265" t="str">
        <v>N/A</v>
      </c>
      <c r="G265" t="str">
        <v>孙弟兄，至今年圣诞节，你的書法聖经节每周的供应已经整整三周年！[Worship]我们要祷告感谢祂的信实和你弟兄的劳苦！明天我电话你以便有些交通和祷告？</v>
      </c>
      <c r="H265" t="str">
        <v>N</v>
      </c>
      <c r="I265" t="str">
        <v>S1</v>
      </c>
      <c r="J265" t="str">
        <f>IF(AND(OR(K265="L", K265="M"), OR(L265="H", L265="M"), OR(M265="H", M265="M")),"Y","N")</f>
        <v>Y</v>
      </c>
      <c r="K265" t="str">
        <v>L</v>
      </c>
      <c r="L265" t="str">
        <v>M</v>
      </c>
      <c r="M265" t="str">
        <v>H</v>
      </c>
    </row>
    <row r="266">
      <c r="A266" t="str">
        <v>John 15:8</v>
      </c>
      <c r="B266" t="str">
        <v>Grape fruits</v>
      </c>
      <c r="C266">
        <v>45308</v>
      </c>
      <c r="D266" t="str">
        <v>https://www.dropbox.com/scl/fi/pmsdxsjtom2hgusplymo6/IMG_1953.JPG?rlkey=feuj0pbtdz52cq73s74toi857&amp;dl=0</v>
      </c>
      <c r="E266" t="str">
        <v>N/A</v>
      </c>
      <c r="F266" t="str">
        <v>N/A</v>
      </c>
      <c r="G266" t="str">
        <v>N/A</v>
      </c>
      <c r="H266" t="str">
        <f>IF(AND(OR(I266="L", I266="M"), OR(J266="H", J266="M"), OR(K266="H", K266="M")),"Y","N")</f>
        <v>N</v>
      </c>
      <c r="I266" t="str">
        <f>IF(AND(OR(J266="L", J266="M"), OR(K266="H", K266="M"), OR(L266="H", L266="M")),"Y","N")</f>
        <v>N</v>
      </c>
      <c r="J266" t="str">
        <f>IF(AND(OR(K266="L", K266="M"), OR(L266="H", L266="M"), OR(M266="H", M266="M")),"Y","N")</f>
        <v>N</v>
      </c>
      <c r="K266" t="str">
        <v>M</v>
      </c>
      <c r="L266" t="str">
        <v>L</v>
      </c>
      <c r="M266" t="str">
        <v>H</v>
      </c>
    </row>
    <row r="267">
      <c r="A267" t="str">
        <v>John 15:1-2</v>
      </c>
      <c r="B267" t="str">
        <v>Grapes in the vine</v>
      </c>
      <c r="C267">
        <v>45311</v>
      </c>
      <c r="D267" t="str">
        <v>https://www.dropbox.com/scl/fi/4jlfcbmjqqy3j1cx6bdjp/IMG_1954.JPG?rlkey=72n01qtc7a9wsqcb2attq7yu0&amp;dl=0</v>
      </c>
      <c r="E267" t="str">
        <v>N/A</v>
      </c>
      <c r="F267" t="str">
        <v>N/A</v>
      </c>
      <c r="G267" t="str">
        <v>N/A</v>
      </c>
      <c r="H267" t="str">
        <v>N</v>
      </c>
      <c r="I267" t="str">
        <v>S3</v>
      </c>
      <c r="J267" t="str">
        <f>IF(AND(OR(K267="L", K267="M"), OR(L267="H", L267="M"), OR(M267="H", M267="M")),"Y","N")</f>
        <v>Y</v>
      </c>
      <c r="K267" t="str">
        <v>M</v>
      </c>
      <c r="L267" t="str">
        <v>M</v>
      </c>
      <c r="M267" t="str">
        <v>H</v>
      </c>
    </row>
    <row r="268">
      <c r="A268" t="str">
        <v>John 15:9</v>
      </c>
      <c r="B268" t="str">
        <v>palm</v>
      </c>
      <c r="C268">
        <v>45313</v>
      </c>
      <c r="D268" t="str">
        <v>https://www.dropbox.com/scl/fi/luxmhnyy075aytpglo8yv/IMG_1955.JPG?rlkey=dleuo5cp2gjpo00epovp7wzo5&amp;dl=0</v>
      </c>
      <c r="E268" t="str">
        <v>N/A</v>
      </c>
      <c r="F268" t="str">
        <v>N/A</v>
      </c>
      <c r="G268" t="str">
        <v>N/A</v>
      </c>
      <c r="H268" t="str">
        <f>IF(AND(OR(I268="L", I268="M"), OR(J268="H", J268="M"), OR(K268="H", K268="M")),"Y","N")</f>
        <v>N</v>
      </c>
      <c r="I268" t="str">
        <f>IF(AND(OR(J268="L", J268="M"), OR(K268="H", K268="M"), OR(L268="H", L268="M")),"Y","N")</f>
        <v>N</v>
      </c>
      <c r="J268" t="str">
        <f>IF(AND(OR(K268="L", K268="M"), OR(L268="H", L268="M"), OR(M268="H", M268="M")),"Y","N")</f>
        <v>N</v>
      </c>
      <c r="K268" t="str">
        <v>M</v>
      </c>
      <c r="L268" t="str">
        <v>L</v>
      </c>
      <c r="M268" t="str">
        <v>H</v>
      </c>
    </row>
    <row r="269">
      <c r="A269" t="str">
        <v>John 15:10</v>
      </c>
      <c r="B269" t="str">
        <v>Plum blossom (green)</v>
      </c>
      <c r="C269">
        <v>45314</v>
      </c>
      <c r="D269" t="str">
        <v>https://www.dropbox.com/scl/fi/qo0hu4o2zhiwhnjy4gxrh/IMG_1958.JPG?rlkey=vnjwtkv0eiruglgdrz369yfr2&amp;dl=0</v>
      </c>
      <c r="E269" t="str">
        <v>N/A</v>
      </c>
      <c r="F269" t="str">
        <v>N/A</v>
      </c>
      <c r="G269" t="str">
        <v>N/A</v>
      </c>
      <c r="H269" t="str">
        <f>IF(AND(OR(I269="L", I269="M"), OR(J269="H", J269="M"), OR(K269="H", K269="M")),"Y","N")</f>
        <v>N</v>
      </c>
      <c r="I269" t="str">
        <f>IF(AND(OR(J269="L", J269="M"), OR(K269="H", K269="M"), OR(L269="H", L269="M")),"Y","N")</f>
        <v>N</v>
      </c>
      <c r="J269" t="str">
        <f>IF(AND(OR(K269="L", K269="M"), OR(L269="H", L269="M"), OR(M269="H", M269="M")),"Y","N")</f>
        <v>N</v>
      </c>
      <c r="K269" t="str">
        <v>M</v>
      </c>
      <c r="L269" t="str">
        <v>L</v>
      </c>
      <c r="M269" t="str">
        <v>H</v>
      </c>
    </row>
    <row r="270">
      <c r="A270" t="str">
        <v>John 12:24</v>
      </c>
      <c r="B270" t="str">
        <v>A grain of wheat</v>
      </c>
      <c r="C270">
        <v>45316</v>
      </c>
      <c r="D270" t="str">
        <v>https://www.dropbox.com/scl/fi/67k5xh1adjjdjk0cljvnd/IMG_1956.JPG?rlkey=xqzral3vtjq20kqrtcalq1od3&amp;dl=0</v>
      </c>
      <c r="E270" t="str">
        <v>N/A</v>
      </c>
      <c r="F270" t="str">
        <v>N/A</v>
      </c>
      <c r="G270" t="str">
        <v>N/A</v>
      </c>
      <c r="H270" t="str">
        <v>N</v>
      </c>
      <c r="I270" t="str">
        <v>S1</v>
      </c>
      <c r="J270" t="str">
        <f>IF(AND(OR(K270="L", K270="M"), OR(L270="H", L270="M"), OR(M270="H", M270="M")),"Y","N")</f>
        <v>Y</v>
      </c>
      <c r="K270" t="str">
        <v>L</v>
      </c>
      <c r="L270" t="str">
        <v>M</v>
      </c>
      <c r="M270" t="str">
        <v>H</v>
      </c>
    </row>
    <row r="271">
      <c r="A271" t="str">
        <v>Jeremiah 17:7-8</v>
      </c>
      <c r="B271" t="str">
        <v>prayer hand</v>
      </c>
      <c r="C271">
        <v>45325</v>
      </c>
      <c r="D271" t="str">
        <v>https://www.dropbox.com/scl/fi/3vauzj6l8jzf3kpfkw91r/IMG_1957.JPG?rlkey=3978pd37obz0a79f1jvxkyr1p&amp;dl=0</v>
      </c>
      <c r="E271" t="str">
        <v>N/A</v>
      </c>
      <c r="F271" t="str">
        <v>N/A</v>
      </c>
      <c r="G271" t="str">
        <v>N/A</v>
      </c>
      <c r="H271" t="str">
        <f>IF(AND(OR(I271="L", I271="M"), OR(J271="H", J271="M"), OR(K271="H", K271="M")),"Y","N")</f>
        <v>N</v>
      </c>
      <c r="I271" t="str">
        <f>IF(AND(OR(J271="L", J271="M"), OR(K271="H", K271="M"), OR(L271="H", L271="M")),"Y","N")</f>
        <v>N</v>
      </c>
      <c r="J271" t="str">
        <f>IF(AND(OR(K271="L", K271="M"), OR(L271="H", L271="M"), OR(M271="H", M271="M")),"Y","N")</f>
        <v>N</v>
      </c>
      <c r="K271" t="str">
        <v>M</v>
      </c>
      <c r="L271" t="str">
        <v>L</v>
      </c>
      <c r="M271" t="str">
        <v>H</v>
      </c>
    </row>
    <row r="272">
      <c r="A272" t="str">
        <v>1 Thessalonians 5:16-18</v>
      </c>
      <c r="B272" t="str">
        <v>Flowers (pink)</v>
      </c>
      <c r="C272">
        <v>45327</v>
      </c>
      <c r="D272" t="str">
        <v>https://www.dropbox.com/scl/fi/xh00dfveb23it8gqy2r7z/IMG_1961.JPG?rlkey=qylj61tyysx44gi2wxjujhado&amp;dl=0</v>
      </c>
      <c r="E272" t="str">
        <v>N/A</v>
      </c>
      <c r="F272" t="str">
        <v>N/A</v>
      </c>
      <c r="G272" t="str">
        <v>N/A</v>
      </c>
      <c r="H272" t="str">
        <v>N</v>
      </c>
      <c r="I272" t="str">
        <v>S1</v>
      </c>
      <c r="J272" t="str">
        <f>IF(AND(OR(K272="L", K272="M"), OR(L272="H", L272="M"), OR(M272="H", M272="M")),"Y","N")</f>
        <v>Y</v>
      </c>
      <c r="K272" t="str">
        <v>L</v>
      </c>
      <c r="L272" t="str">
        <v>M</v>
      </c>
      <c r="M272" t="str">
        <v>H</v>
      </c>
    </row>
    <row r="273">
      <c r="A273" t="str">
        <v>Philippians 4:23</v>
      </c>
      <c r="B273" t="str">
        <v>Flowers (blue)</v>
      </c>
      <c r="C273">
        <v>45329</v>
      </c>
      <c r="D273" t="str">
        <v>https://www.dropbox.com/scl/fi/gppbrrju85x0dwcsx636r/IMG_1963.JPG?rlkey=grdhvjc1084zjvmxyd2r37t95&amp;dl=0</v>
      </c>
      <c r="E273" t="str">
        <v>N/A</v>
      </c>
      <c r="F273" t="str">
        <v>N/A</v>
      </c>
      <c r="G273" t="str">
        <v>N/A</v>
      </c>
      <c r="H273" t="str">
        <f>IF(AND(OR(I273="L", I273="M"), OR(J273="H", J273="M"), OR(K273="H", K273="M")),"Y","N")</f>
        <v>N</v>
      </c>
      <c r="I273" t="str">
        <f>IF(AND(OR(J273="L", J273="M"), OR(K273="H", K273="M"), OR(L273="H", L273="M")),"Y","N")</f>
        <v>N</v>
      </c>
      <c r="J273" t="str">
        <f>IF(AND(OR(K273="L", K273="M"), OR(L273="H", L273="M"), OR(M273="H", M273="M")),"Y","N")</f>
        <v>N</v>
      </c>
      <c r="K273" t="str">
        <v>L</v>
      </c>
      <c r="L273" t="str">
        <v>L</v>
      </c>
      <c r="M273" t="str">
        <v>H</v>
      </c>
    </row>
    <row r="274">
      <c r="A274" t="str">
        <v>Philippians 4:7</v>
      </c>
      <c r="B274" t="str">
        <v>prayer hand</v>
      </c>
      <c r="C274">
        <v>45331</v>
      </c>
      <c r="D274" t="str">
        <v>https://www.dropbox.com/scl/fi/ijl8igew8ewr7x0mk6n4m/IMG_1965.JPG?rlkey=pp4crvopzysg26rqbqcslb08c&amp;dl=0</v>
      </c>
      <c r="E274" t="str">
        <v>N/A</v>
      </c>
      <c r="F274" t="str">
        <v>N/A</v>
      </c>
      <c r="G274" t="str">
        <v>N/A</v>
      </c>
      <c r="H274" t="str">
        <f>IF(AND(OR(I274="L", I274="M"), OR(J274="H", J274="M"), OR(K274="H", K274="M")),"Y","N")</f>
        <v>N</v>
      </c>
      <c r="I274" t="str">
        <f>IF(AND(OR(J274="L", J274="M"), OR(K274="H", K274="M"), OR(L274="H", L274="M")),"Y","N")</f>
        <v>N</v>
      </c>
      <c r="J274" t="str">
        <f>IF(AND(OR(K274="L", K274="M"), OR(L274="H", L274="M"), OR(M274="H", M274="M")),"Y","N")</f>
        <v>N</v>
      </c>
      <c r="K274" t="str">
        <v>L</v>
      </c>
      <c r="L274" t="str">
        <v>L</v>
      </c>
      <c r="M274" t="str">
        <v>H</v>
      </c>
    </row>
    <row r="275">
      <c r="A275" t="str">
        <v>Numbers 6:24</v>
      </c>
      <c r="B275" t="str">
        <v>Flowers (pink)</v>
      </c>
      <c r="C275">
        <v>45332</v>
      </c>
      <c r="D275" t="str">
        <v>https://www.dropbox.com/scl/fi/m9mucuk38toxoolpbr0m4/IMG_1966.JPG?rlkey=2evg4bvx1ruft3y5j13lmizy7&amp;dl=0</v>
      </c>
      <c r="E275" t="str">
        <v>N/A</v>
      </c>
      <c r="F275" t="str">
        <v>N/A</v>
      </c>
      <c r="G275" t="str">
        <v>N/A</v>
      </c>
      <c r="H275" t="str">
        <v>N</v>
      </c>
      <c r="I275" t="str">
        <v>S1</v>
      </c>
      <c r="J275" t="str">
        <f>IF(AND(OR(K275="L", K275="M"), OR(L275="H", L275="M"), OR(M275="H", M275="M")),"Y","N")</f>
        <v>Y</v>
      </c>
      <c r="K275" t="str">
        <v>L</v>
      </c>
      <c r="L275" t="str">
        <v>M</v>
      </c>
      <c r="M275" t="str">
        <v>H</v>
      </c>
    </row>
    <row r="276">
      <c r="A276" t="str">
        <v>Philippians 4:4</v>
      </c>
      <c r="B276" t="str">
        <v>Flowers (purple)</v>
      </c>
      <c r="C276">
        <v>45345</v>
      </c>
      <c r="D276" t="str">
        <v>https://www.dropbox.com/scl/fi/llbz612wudg7asgxlfd2c/IMG_1970.JPG?rlkey=xh458mnu0ttzwjt1y1tksiqbk&amp;dl=0</v>
      </c>
      <c r="E276" t="str">
        <v>N/A</v>
      </c>
      <c r="F276" t="str">
        <v>N/A</v>
      </c>
      <c r="G276" t="str">
        <v>N/A</v>
      </c>
      <c r="H276" t="str">
        <f>IF(AND(OR(I276="L", I276="M"), OR(J276="H", J276="M"), OR(K276="H", K276="M")),"Y","N")</f>
        <v>N</v>
      </c>
      <c r="I276" t="str">
        <f>IF(AND(OR(J276="L", J276="M"), OR(K276="H", K276="M"), OR(L276="H", L276="M")),"Y","N")</f>
        <v>N</v>
      </c>
      <c r="J276" t="str">
        <f>IF(AND(OR(K276="L", K276="M"), OR(L276="H", L276="M"), OR(M276="H", M276="M")),"Y","N")</f>
        <v>N</v>
      </c>
      <c r="K276" t="str">
        <v>L</v>
      </c>
      <c r="L276" t="str">
        <v>L</v>
      </c>
      <c r="M276" t="str">
        <v>H</v>
      </c>
    </row>
    <row r="277">
      <c r="A277" t="str">
        <v>Hosea 10:12</v>
      </c>
      <c r="B277" t="str">
        <v>Bamboo</v>
      </c>
      <c r="C277">
        <v>45346</v>
      </c>
      <c r="D277" t="str">
        <v>https://www.dropbox.com/scl/fi/sf1ohygls7d8taor7m73s/IMG_1972.JPG?rlkey=8cjq918kga39wojcykm7m4dhc&amp;dl=0</v>
      </c>
      <c r="E277" t="str">
        <v>N/A</v>
      </c>
      <c r="F277" t="str">
        <v>N/A</v>
      </c>
      <c r="G277" t="str">
        <v>N/A</v>
      </c>
      <c r="H277" t="str">
        <v>N</v>
      </c>
      <c r="I277" t="str">
        <v>S3</v>
      </c>
      <c r="J277" t="str">
        <f>IF(AND(OR(K277="L", K277="M"), OR(L277="H", L277="M"), OR(M277="H", M277="M")),"Y","N")</f>
        <v>Y</v>
      </c>
      <c r="K277" t="str">
        <v>L</v>
      </c>
      <c r="L277" t="str">
        <v>M</v>
      </c>
      <c r="M277" t="str">
        <v>H</v>
      </c>
    </row>
    <row r="278">
      <c r="A278" t="str">
        <v>John 12:46</v>
      </c>
      <c r="B278" t="str">
        <v>Plum blossom in Sunlight</v>
      </c>
      <c r="C278">
        <v>45358</v>
      </c>
      <c r="D278" t="str">
        <v>https://www.dropbox.com/scl/fi/iy0e70jf1zlk7xaduwmrb/IMG_1973.JPG?rlkey=bq0q29h3c8wg34gn900vawip8&amp;dl=0</v>
      </c>
      <c r="E278" t="str">
        <v>N/A</v>
      </c>
      <c r="F278" t="str">
        <v>N/A</v>
      </c>
      <c r="G278" t="str">
        <v>N/A</v>
      </c>
      <c r="H278" t="str">
        <f>IF(AND(OR(I278="L", I278="M"), OR(J278="H", J278="M"), OR(K278="H", K278="M")),"Y","N")</f>
        <v>N</v>
      </c>
      <c r="I278" t="str">
        <f>IF(AND(OR(J278="L", J278="M"), OR(K278="H", K278="M"), OR(L278="H", L278="M")),"Y","N")</f>
        <v>N</v>
      </c>
      <c r="J278" t="str">
        <f>IF(AND(OR(K278="L", K278="M"), OR(L278="H", L278="M"), OR(M278="H", M278="M")),"Y","N")</f>
        <v>N</v>
      </c>
      <c r="K278" t="str">
        <v>L</v>
      </c>
      <c r="L278" t="str">
        <v>L</v>
      </c>
      <c r="M278" t="str">
        <v>H</v>
      </c>
    </row>
    <row r="279">
      <c r="A279" t="str">
        <v>Psalms 4:8</v>
      </c>
      <c r="B279" t="str">
        <v>Azalea</v>
      </c>
      <c r="C279">
        <v>45363</v>
      </c>
      <c r="D279" t="str">
        <v>https://www.dropbox.com/scl/fi/b85ndag2a7bjxuyzim0kt/IMG_1974.JPG?rlkey=mi5y8srdn6lxk17w24yss21hk&amp;dl=0</v>
      </c>
      <c r="E279" t="str">
        <v>N/A</v>
      </c>
      <c r="F279" t="str">
        <v>N/A</v>
      </c>
      <c r="G279" t="str">
        <v>N/A</v>
      </c>
      <c r="H279" t="str">
        <v>N</v>
      </c>
      <c r="I279" t="str">
        <v>S2</v>
      </c>
      <c r="J279" t="str">
        <f>IF(AND(OR(K279="L", K279="M"), OR(L279="H", L279="M"), OR(M279="H", M279="M")),"Y","N")</f>
        <v>Y</v>
      </c>
      <c r="K279" t="str">
        <v>L</v>
      </c>
      <c r="L279" t="str">
        <v>M</v>
      </c>
      <c r="M279" t="str">
        <v>H</v>
      </c>
    </row>
    <row r="280">
      <c r="A280" t="str">
        <v>Matthew 6:29</v>
      </c>
      <c r="B280" t="str">
        <v>Flowers</v>
      </c>
      <c r="C280">
        <v>45367</v>
      </c>
      <c r="D280" t="str">
        <v>https://www.dropbox.com/scl/fi/770zvovb547jb4x1o26l1/IMG_1977.JPG?rlkey=sgqyzqe7yqdq79cezw9znjxe0&amp;dl=0</v>
      </c>
      <c r="E280" t="str">
        <v>N/A</v>
      </c>
      <c r="F280" t="str">
        <v>N/A</v>
      </c>
      <c r="G280" t="str">
        <v>Vedio clip</v>
      </c>
      <c r="H280" t="str">
        <f>IF(AND(OR(I280="L", I280="M"), OR(J280="H", J280="M"), OR(K280="H", K280="M")),"Y","N")</f>
        <v>N</v>
      </c>
      <c r="I280" t="str">
        <f>IF(AND(OR(J280="L", J280="M"), OR(K280="H", K280="M"), OR(L280="H", L280="M")),"Y","N")</f>
        <v>N</v>
      </c>
      <c r="J280" t="str">
        <f>IF(AND(OR(K280="L", K280="M"), OR(L280="H", L280="M"), OR(M280="H", M280="M")),"Y","N")</f>
        <v>N</v>
      </c>
      <c r="K280" t="str">
        <v>L</v>
      </c>
      <c r="L280" t="str">
        <v>L</v>
      </c>
      <c r="M280" t="str">
        <v>H</v>
      </c>
    </row>
    <row r="281">
      <c r="A281" t="str">
        <v>Psalms 145:3</v>
      </c>
      <c r="B281" t="str">
        <v>Azalea</v>
      </c>
      <c r="C281">
        <v>45367</v>
      </c>
      <c r="D281" t="str">
        <v>https://www.dropbox.com/scl/fi/qaeoflz4qxmaajxffsvfy/IMG_1976.JPG?rlkey=xxfsbhqc9ag7ldf4slnr9ib4o&amp;dl=0</v>
      </c>
      <c r="E281" t="str">
        <v>N/A</v>
      </c>
      <c r="F281" t="str">
        <v>N/A</v>
      </c>
      <c r="G281" t="str">
        <v>N/A</v>
      </c>
      <c r="H281" t="str">
        <v>N</v>
      </c>
      <c r="I281" t="str">
        <v>S1</v>
      </c>
      <c r="J281" t="str">
        <f>IF(AND(OR(K281="L", K281="M"), OR(L281="H", L281="M"), OR(M281="H", M281="M")),"Y","N")</f>
        <v>Y</v>
      </c>
      <c r="K281" t="str">
        <v>L</v>
      </c>
      <c r="L281" t="str">
        <v>M</v>
      </c>
      <c r="M281" t="str">
        <v>H</v>
      </c>
    </row>
    <row r="282">
      <c r="A282" t="str">
        <v>Numbers 6:25</v>
      </c>
      <c r="B282" t="str">
        <v>Palm trees</v>
      </c>
      <c r="C282">
        <v>45369</v>
      </c>
      <c r="D282" t="str">
        <v>https://www.dropbox.com/scl/fi/xrdz317kjn666g30n02jt/IMG_1978.JPG?rlkey=xxkk6g7dl1utvs2lv0z2urjhz&amp;dl=0</v>
      </c>
      <c r="E282" t="str">
        <v>N/A</v>
      </c>
      <c r="F282" t="str">
        <v>N/A</v>
      </c>
      <c r="G282" t="str">
        <v>N/A</v>
      </c>
      <c r="H282" t="str">
        <f>IF(AND(OR(I282="L", I282="M"), OR(J282="H", J282="M"), OR(K282="H", K282="M")),"Y","N")</f>
        <v>N</v>
      </c>
      <c r="I282" t="str">
        <f>IF(AND(OR(J282="L", J282="M"), OR(K282="H", K282="M"), OR(L282="H", L282="M")),"Y","N")</f>
        <v>N</v>
      </c>
      <c r="J282" t="str">
        <f>IF(AND(OR(K282="L", K282="M"), OR(L282="H", L282="M"), OR(M282="H", M282="M")),"Y","N")</f>
        <v>N</v>
      </c>
      <c r="K282" t="str">
        <v>L</v>
      </c>
      <c r="L282" t="str">
        <v>L</v>
      </c>
      <c r="M282" t="str">
        <v>H</v>
      </c>
    </row>
    <row r="283" xml:space="preserve">
      <c r="A283" t="str">
        <v>Psalms 113:3</v>
      </c>
      <c r="B283" t="str">
        <v>Rock of prayer</v>
      </c>
      <c r="C283">
        <v>45402</v>
      </c>
      <c r="D283" t="str">
        <v>https://www.dropbox.com/scl/fi/xk788cnehulpr9qzjha5p/IMG_1981.JPG?rlkey=rag953t0jt4reu1sftv05nvpg&amp;dl=0</v>
      </c>
      <c r="E283" t="str">
        <v>此画中，山有点像人手合掌之意，手指中有很多人生的，生活之意，指中藏有人物之意，图右好像女子测面之相，整副画似乎一女子在向上天祷告，一只鹰似呼呤听姑娘的祷告…鹰像征着勇敢和自由，画者到底向我们说什么，请指教。</v>
      </c>
      <c r="F283" t="str" xml:space="preserve">
        <v xml:space="preserve">陈弟兄，一下都看出来了，感谢主！现在美国、中国、全世界到处都是偶像，人们没有高举耶稣基督，而是追逐世上偶像，是弯曲悖谬世界的原因。我们是神的儿女，从日出之处到日落之地都高举耶稣基督，赞美耶和华。印章在太阳正中，印文是荣耀基督。耶穌又對眾人說：“我是世界的光。跟從我的，就不在黑暗裡走，必要得着生命的光。”(約翰福音 8:12 和合本-繁)_x000d_
</v>
      </c>
      <c r="G283" t="str">
        <v>N/A</v>
      </c>
      <c r="H283" t="str">
        <v>N</v>
      </c>
      <c r="I283" t="str">
        <v>S2</v>
      </c>
      <c r="J283" t="str">
        <f>IF(AND(OR(K283="L", K283="M"), OR(L283="H", L283="M"), OR(M283="H", M283="M")),"Y","N")</f>
        <v>Y</v>
      </c>
      <c r="K283" t="str">
        <v>L</v>
      </c>
      <c r="L283" t="str">
        <v>M</v>
      </c>
      <c r="M283" t="str">
        <v>H</v>
      </c>
    </row>
    <row r="284">
      <c r="A284" t="str">
        <v>1 Corinthians 8:2-3</v>
      </c>
      <c r="B284" t="str">
        <v>Flowers</v>
      </c>
      <c r="C284">
        <v>45458</v>
      </c>
      <c r="D284" t="str">
        <v>https://www.dropbox.com/scl/fi/hirbvpqiyzk2p8cili3hu/IMG_1982.JPG?rlkey=5zr9os7d55ziskftegrli4vt8&amp;dl=0</v>
      </c>
      <c r="E284" t="str">
        <v>N/A</v>
      </c>
      <c r="F284" t="str">
        <v>有神知道，我们就满足！爱是关健！大家喜欢经节和画！</v>
      </c>
      <c r="G284" t="str">
        <v>N/A</v>
      </c>
      <c r="H284" t="str">
        <v>N</v>
      </c>
      <c r="I284" t="str">
        <v>S1</v>
      </c>
      <c r="J284" t="str">
        <f>IF(AND(OR(K284="L", K284="M"), OR(L284="H", L284="M"), OR(M284="H", M284="M")),"Y","N")</f>
        <v>Y</v>
      </c>
      <c r="K284" t="str">
        <v>L</v>
      </c>
      <c r="L284" t="str">
        <v>M</v>
      </c>
      <c r="M284" t="str">
        <v>H</v>
      </c>
    </row>
    <row r="285">
      <c r="A285" t="str">
        <v>2 Corinthians 6:17</v>
      </c>
      <c r="B285" t="str">
        <v>Flowers (grey)</v>
      </c>
      <c r="C285">
        <v>45465</v>
      </c>
      <c r="D285" t="str">
        <v>https://www.dropbox.com/scl/fi/krnmkc91tgtt1r0p86xpp/IMG_1984.JPG?rlkey=ajtkcfrdzpgy8utmfgxkv6mab&amp;dl=0</v>
      </c>
      <c r="E285" t="str">
        <v>N/A</v>
      </c>
      <c r="F285" t="str">
        <v>N/A</v>
      </c>
      <c r="G285" t="str">
        <v>N/A</v>
      </c>
      <c r="H285" t="str">
        <f>IF(AND(OR(I285="L", I285="M"), OR(J285="H", J285="M"), OR(K285="H", K285="M")),"Y","N")</f>
        <v>N</v>
      </c>
      <c r="I285" t="str">
        <f>IF(AND(OR(J285="L", J285="M"), OR(K285="H", K285="M"), OR(L285="H", L285="M")),"Y","N")</f>
        <v>N</v>
      </c>
      <c r="J285" t="str">
        <f>IF(AND(OR(K285="L", K285="M"), OR(L285="H", L285="M"), OR(M285="H", M285="M")),"Y","N")</f>
        <v>N</v>
      </c>
      <c r="K285" t="str">
        <v>L</v>
      </c>
      <c r="L285" t="str">
        <v>L</v>
      </c>
      <c r="M285" t="str">
        <v>H</v>
      </c>
    </row>
    <row r="286">
      <c r="A286" t="str">
        <v>Galatians 1:10</v>
      </c>
      <c r="B286" t="str">
        <v>Bamboo &amp; banana tree</v>
      </c>
      <c r="C286">
        <v>45465</v>
      </c>
      <c r="D286" t="str">
        <v>https://www.dropbox.com/scl/fi/0rymmsnljyssa3f5kch2l/IMG_1983.JPG?rlkey=53apelrtjbqd152b8rxu44qoa&amp;dl=0</v>
      </c>
      <c r="E286" t="str">
        <v>N/A</v>
      </c>
      <c r="F286" t="str">
        <v>N/A</v>
      </c>
      <c r="G286" t="str">
        <v>N/A</v>
      </c>
      <c r="H286" t="str">
        <v>N</v>
      </c>
      <c r="I286" t="str">
        <v>S1</v>
      </c>
      <c r="J286" t="str">
        <f>IF(AND(OR(K286="L", K286="M"), OR(L286="H", L286="M"), OR(M286="H", M286="M")),"Y","N")</f>
        <v>Y</v>
      </c>
      <c r="K286" t="str">
        <v>L</v>
      </c>
      <c r="L286" t="str">
        <v>M</v>
      </c>
      <c r="M286" t="str">
        <v>H</v>
      </c>
    </row>
    <row r="287">
      <c r="A287" t="str">
        <v xml:space="preserve">Titus 1:15 </v>
      </c>
      <c r="B287" t="str">
        <v>Lotus (grey)</v>
      </c>
      <c r="C287">
        <v>45485</v>
      </c>
      <c r="D287" t="str">
        <v>https://www.dropbox.com/scl/fi/0jnxqqcupdzbm34jzd25q/IMG_1985.JPG?rlkey=wqxododiw0c0fan7gcub2zanx&amp;dl=0</v>
      </c>
      <c r="E287" t="str">
        <v>N/A</v>
      </c>
      <c r="F287" t="str">
        <v>N/A</v>
      </c>
      <c r="G287" t="str">
        <v>N/A</v>
      </c>
      <c r="H287" t="str">
        <f>IF(AND(OR(I287="L", I287="M"), OR(J287="H", J287="M"), OR(K287="H", K287="M")),"Y","N")</f>
        <v>N</v>
      </c>
      <c r="I287" t="str">
        <f>IF(AND(OR(J287="L", J287="M"), OR(K287="H", K287="M"), OR(L287="H", L287="M")),"Y","N")</f>
        <v>N</v>
      </c>
      <c r="J287" t="str">
        <f>IF(AND(OR(K287="L", K287="M"), OR(L287="H", L287="M"), OR(M287="H", M287="M")),"Y","N")</f>
        <v>N</v>
      </c>
      <c r="K287" t="str">
        <v>L</v>
      </c>
      <c r="L287" t="str">
        <v>L</v>
      </c>
      <c r="M287" t="str">
        <v>H</v>
      </c>
    </row>
    <row r="288">
      <c r="A288" t="str">
        <v>2 Corinthians 6:17</v>
      </c>
      <c r="B288" t="str">
        <v>Lotus</v>
      </c>
      <c r="C288">
        <v>45493</v>
      </c>
      <c r="D288" t="str">
        <v>https://www.dropbox.com/scl/fi/k1i9fbwgk23dui8ip2deq/IMG_1991.JPG?rlkey=6xppox3ban607xkxh285yfq0p&amp;dl=0</v>
      </c>
      <c r="E288" t="str">
        <v>N/A</v>
      </c>
      <c r="F288" t="str">
        <v>N/A</v>
      </c>
      <c r="G288" t="str">
        <v>N/A</v>
      </c>
      <c r="H288" t="str">
        <v>N</v>
      </c>
      <c r="I288" t="str">
        <v>S1</v>
      </c>
      <c r="J288" t="str">
        <f>IF(AND(OR(K288="L", K288="M"), OR(L288="H", L288="M"), OR(M288="H", M288="M")),"Y","N")</f>
        <v>Y</v>
      </c>
      <c r="K288" t="str">
        <v>L</v>
      </c>
      <c r="L288" t="str">
        <v>M</v>
      </c>
      <c r="M288" t="str">
        <v>H</v>
      </c>
    </row>
    <row r="289">
      <c r="A289" t="str">
        <v>Psalms 19:9a</v>
      </c>
      <c r="B289" t="str">
        <v>Lotus</v>
      </c>
      <c r="C289">
        <v>45493</v>
      </c>
      <c r="D289" t="str">
        <v>https://www.dropbox.com/scl/fi/wmu2ps1eowlvacpzm9d2a/IMG_1996.JPG?rlkey=9c818yr5cqruzvme2y2bnujgb&amp;dl=0</v>
      </c>
      <c r="E289" t="str">
        <v>N/A</v>
      </c>
      <c r="F289" t="str">
        <v>N/A</v>
      </c>
      <c r="G289" t="str">
        <v>N/A</v>
      </c>
      <c r="H289" t="str">
        <v>N</v>
      </c>
      <c r="I289" t="str">
        <v>S1</v>
      </c>
      <c r="J289" t="str">
        <f>IF(AND(OR(K289="L", K289="M"), OR(L289="H", L289="M"), OR(M289="H", M289="M")),"Y","N")</f>
        <v>Y</v>
      </c>
      <c r="K289" t="str">
        <v>L</v>
      </c>
      <c r="L289" t="str">
        <v>M</v>
      </c>
      <c r="M289" t="str">
        <v>M</v>
      </c>
    </row>
    <row r="290">
      <c r="A290" t="str">
        <v>Proverbs 15:9</v>
      </c>
      <c r="B290" t="str">
        <v>Lotus</v>
      </c>
      <c r="C290">
        <v>45493</v>
      </c>
      <c r="D290" t="str">
        <v>https://www.dropbox.com/scl/fi/nicvu8b5yvtq5r4ulanvz/IMG_1997.JPG?rlkey=h41wdacpbgm22i93rsqtgff4i&amp;dl=0</v>
      </c>
      <c r="E290" t="str">
        <v>N/A</v>
      </c>
      <c r="F290" t="str">
        <v>N/A</v>
      </c>
      <c r="G290" t="str">
        <v>N/A</v>
      </c>
      <c r="H290" t="str">
        <v>N</v>
      </c>
      <c r="I290" t="str">
        <v>S2</v>
      </c>
      <c r="J290" t="str">
        <f>IF(AND(OR(K290="L", K290="M"), OR(L290="H", L290="M"), OR(M290="H", M290="M")),"Y","N")</f>
        <v>Y</v>
      </c>
      <c r="K290" t="str">
        <v>L</v>
      </c>
      <c r="L290" t="str">
        <v>M</v>
      </c>
      <c r="M290" t="str">
        <v>M</v>
      </c>
    </row>
    <row r="291">
      <c r="A291" t="str">
        <v>2 Corinthians 7:1</v>
      </c>
      <c r="B291" t="str">
        <v>Lotus</v>
      </c>
      <c r="C291">
        <v>45493</v>
      </c>
      <c r="D291" t="str">
        <v>https://www.dropbox.com/scl/fi/1ji30mctf8x3lx2khzu0i/IMG_1988.JPG?rlkey=cl4e46m1q7io79b19d64l9mqw&amp;dl=0</v>
      </c>
      <c r="E291" t="str">
        <v>N/A</v>
      </c>
      <c r="F291" t="str">
        <v>N/A</v>
      </c>
      <c r="G291" t="str">
        <v>N/A</v>
      </c>
      <c r="H291" t="str">
        <v>N</v>
      </c>
      <c r="I291" t="str">
        <v>S3</v>
      </c>
      <c r="J291" t="str">
        <f>IF(AND(OR(K291="L", K291="M"), OR(L291="H", L291="M"), OR(M291="H", M291="M")),"Y","N")</f>
        <v>Y</v>
      </c>
      <c r="K291" t="str">
        <v>L</v>
      </c>
      <c r="L291" t="str">
        <v>M</v>
      </c>
      <c r="M291" t="str">
        <v>H</v>
      </c>
    </row>
    <row r="292">
      <c r="A292" t="str">
        <v>Psalms 19:9b</v>
      </c>
      <c r="B292" t="str">
        <v>Lotus</v>
      </c>
      <c r="C292">
        <v>45493</v>
      </c>
      <c r="D292" t="str">
        <v>https://www.dropbox.com/scl/fi/zt63exivgwnuiczmf5rmd/IMG_1995.JPG?rlkey=5itusnt9niiq61oz4h8obipha&amp;dl=0</v>
      </c>
      <c r="E292" t="str">
        <v>N/A</v>
      </c>
      <c r="F292" t="str">
        <v>N/A</v>
      </c>
      <c r="G292" t="str">
        <v>N/A</v>
      </c>
      <c r="H292" t="str">
        <v>N</v>
      </c>
      <c r="I292" t="str">
        <v>S3</v>
      </c>
      <c r="J292" t="str">
        <f>IF(AND(OR(K292="L", K292="M"), OR(L292="H", L292="M"), OR(M292="H", M292="M")),"Y","N")</f>
        <v>Y</v>
      </c>
      <c r="K292" t="str">
        <v>L</v>
      </c>
      <c r="L292" t="str">
        <v>M</v>
      </c>
      <c r="M292" t="str">
        <v>M</v>
      </c>
    </row>
    <row r="293">
      <c r="A293" t="str">
        <v>Song of Solomon 2:14a</v>
      </c>
      <c r="B293" t="str">
        <v>Doves under a banana tree and bamboo</v>
      </c>
      <c r="C293">
        <v>45520</v>
      </c>
      <c r="D293" t="str">
        <v>https://www.dropbox.com/scl/fi/hyjhg9jzyhbylim2qoibh/IMG_1999.JPG?rlkey=tytulmciw5eufs9nt933tozoe&amp;dl=0</v>
      </c>
      <c r="E293" t="str">
        <v>N/A</v>
      </c>
      <c r="F293" t="str">
        <v>N/A</v>
      </c>
      <c r="G293" t="str">
        <v>N/A</v>
      </c>
      <c r="H293" t="str">
        <v>N</v>
      </c>
      <c r="I293" t="str">
        <v>S2</v>
      </c>
      <c r="J293" t="str">
        <f>IF(AND(OR(K293="L", K293="M"), OR(L293="H", L293="M"), OR(M293="H", M293="M")),"Y","N")</f>
        <v>Y</v>
      </c>
      <c r="K293" t="str">
        <v>L</v>
      </c>
      <c r="L293" t="str">
        <v>M</v>
      </c>
      <c r="M293" t="str">
        <v>M</v>
      </c>
    </row>
    <row r="294">
      <c r="A294" t="str">
        <v>Song of Solomon 2:14b</v>
      </c>
      <c r="B294" t="str">
        <v>A dove under a banana tree and bamboo</v>
      </c>
      <c r="C294">
        <v>45522</v>
      </c>
      <c r="D294" t="str">
        <v>https://www.dropbox.com/scl/fi/rvd1qgj1z45hg8tuitdff/IMG_2001.JPG?rlkey=grdbk5gw38rbxpt599w0qtmsx&amp;dl=0</v>
      </c>
      <c r="E294" t="str">
        <v>N/A</v>
      </c>
      <c r="F294" t="str">
        <v>N/A</v>
      </c>
      <c r="G294" t="str">
        <v>N/A</v>
      </c>
      <c r="H294" t="str">
        <f>IF(AND(OR(I294="L", I294="M"), OR(J294="H", J294="M"), OR(K294="H", K294="M")),"Y","N")</f>
        <v>N</v>
      </c>
      <c r="I294" t="str">
        <f>IF(AND(OR(J294="L", J294="M"), OR(K294="H", K294="M"), OR(L294="H", L294="M")),"Y","N")</f>
        <v>N</v>
      </c>
      <c r="J294" t="str">
        <f>IF(AND(OR(K294="L", K294="M"), OR(L294="H", L294="M"), OR(M294="H", M294="M")),"Y","N")</f>
        <v>N</v>
      </c>
      <c r="K294" t="str">
        <v>L</v>
      </c>
      <c r="L294" t="str">
        <v>M</v>
      </c>
      <c r="M294" t="str">
        <v>L</v>
      </c>
    </row>
    <row r="295">
      <c r="A295" t="str">
        <v>Psalms 85:10</v>
      </c>
      <c r="B295" t="str">
        <v>A dove under a banana tree and bamboo</v>
      </c>
      <c r="C295">
        <v>45522</v>
      </c>
      <c r="D295" t="str">
        <v>https://www.dropbox.com/scl/fi/bv0ojr1g6u550zfokyeyx/IMG_2002.JPG?rlkey=to650r86jwe6hb1q7njdyhdaq&amp;dl=0</v>
      </c>
      <c r="E295" t="str">
        <v>N/A</v>
      </c>
      <c r="F295" t="str">
        <v>N/A</v>
      </c>
      <c r="G295" t="str">
        <v>N/A</v>
      </c>
      <c r="H295" t="str">
        <f>IF(AND(OR(I295="L", I295="M"), OR(J295="H", J295="M"), OR(K295="H", K295="M")),"Y","N")</f>
        <v>N</v>
      </c>
      <c r="I295" t="str">
        <f>IF(AND(OR(J295="L", J295="M"), OR(K295="H", K295="M"), OR(L295="H", L295="M")),"Y","N")</f>
        <v>N</v>
      </c>
      <c r="J295" t="str">
        <f>IF(AND(OR(K295="L", K295="M"), OR(L295="H", L295="M"), OR(M295="H", M295="M")),"Y","N")</f>
        <v>N</v>
      </c>
      <c r="K295" t="str">
        <v>L</v>
      </c>
      <c r="L295" t="str">
        <v>L</v>
      </c>
      <c r="M295" t="str">
        <v>L</v>
      </c>
    </row>
    <row r="296">
      <c r="A296" t="str">
        <v>Psalms 103:15-17</v>
      </c>
      <c r="B296" t="str">
        <v>Flowers</v>
      </c>
      <c r="C296">
        <v>45527</v>
      </c>
      <c r="D296" t="str">
        <v>https://www.dropbox.com/scl/fi/iik903hsbj91h6ks2awo1/IMG_2006.JPG?rlkey=8kwk8vsgr5fxczzwrhyrxxq12&amp;dl=0</v>
      </c>
      <c r="E296" t="str">
        <v>N/A</v>
      </c>
      <c r="F296" t="str">
        <v>N/A</v>
      </c>
      <c r="G296" t="str">
        <v>诗篇神的话百读不厌！耶和华 神，我们感谢祢！</v>
      </c>
      <c r="H296" t="str">
        <f>IF(AND(OR(I296="L", I296="M"), OR(J296="H", J296="M"), OR(K296="H", K296="M")),"Y","N")</f>
        <v>N</v>
      </c>
      <c r="I296" t="str">
        <f>IF(AND(OR(J296="L", J296="M"), OR(K296="H", K296="M"), OR(L296="H", L296="M")),"Y","N")</f>
        <v>N</v>
      </c>
      <c r="J296" t="str">
        <f>IF(AND(OR(K296="L", K296="M"), OR(L296="H", L296="M"), OR(M296="H", M296="M")),"Y","N")</f>
        <v>N</v>
      </c>
      <c r="K296" t="str">
        <v>L</v>
      </c>
      <c r="L296" t="str">
        <v>L</v>
      </c>
      <c r="M296" t="str">
        <v>H</v>
      </c>
    </row>
    <row r="297">
      <c r="A297" t="str">
        <v>Romans 10:15</v>
      </c>
      <c r="B297" t="str">
        <v>Peacock</v>
      </c>
      <c r="C297">
        <v>45527</v>
      </c>
      <c r="D297" t="str">
        <v>https://www.dropbox.com/scl/fi/2yr46ksbbfnqvzt6nesp6/IMG_2005.JPG?rlkey=skeose5bk7004qf1h4bx3jqmz&amp;dl=0</v>
      </c>
      <c r="E297" t="str">
        <v>N/A</v>
      </c>
      <c r="F297" t="str">
        <v>N/A</v>
      </c>
      <c r="G297" t="str">
        <v>N/A</v>
      </c>
      <c r="H297" t="str">
        <f>IF(AND(OR(I297="L", I297="M"), OR(J297="H", J297="M"), OR(K297="H", K297="M")),"Y","N")</f>
        <v>N</v>
      </c>
      <c r="I297" t="str">
        <f>IF(AND(OR(J297="L", J297="M"), OR(K297="H", K297="M"), OR(L297="H", L297="M")),"Y","N")</f>
        <v>N</v>
      </c>
      <c r="J297" t="str">
        <f>IF(AND(OR(K297="L", K297="M"), OR(L297="H", L297="M"), OR(M297="H", M297="M")),"Y","N")</f>
        <v>N</v>
      </c>
      <c r="K297" t="str">
        <v>L</v>
      </c>
      <c r="L297" t="str">
        <v>L</v>
      </c>
      <c r="M297" t="str">
        <v>M</v>
      </c>
    </row>
    <row r="298">
      <c r="A298" t="str">
        <v>Psalms 72:7</v>
      </c>
      <c r="B298" t="str">
        <v>Moon autumn</v>
      </c>
      <c r="C298">
        <v>45556</v>
      </c>
      <c r="D298" t="str">
        <v>https://www.dropbox.com/scl/fi/1bz83qaac7gevc2u1ee51/IMG_2008.JPG?rlkey=x9qef2uauft0b9x27cakkb947&amp;dl=0</v>
      </c>
      <c r="E298" t="str">
        <v>N/A</v>
      </c>
      <c r="F298" t="str">
        <v>N/A</v>
      </c>
      <c r="G298" t="str">
        <v>N/A</v>
      </c>
      <c r="H298" t="str">
        <v>N</v>
      </c>
      <c r="I298" t="str">
        <v>S1</v>
      </c>
      <c r="J298" t="str">
        <f>IF(AND(OR(K298="L", K298="M"), OR(L298="H", L298="M"), OR(M298="H", M298="M")),"Y","N")</f>
        <v>Y</v>
      </c>
      <c r="K298" t="str">
        <v>L</v>
      </c>
      <c r="L298" t="str">
        <v>M</v>
      </c>
      <c r="M298" t="str">
        <v>H</v>
      </c>
    </row>
    <row r="299">
      <c r="A299" t="str">
        <v>Proverbs 10:29</v>
      </c>
      <c r="B299" t="str">
        <v>Birch in autumn (right)</v>
      </c>
      <c r="C299">
        <v>45612</v>
      </c>
      <c r="D299" t="str">
        <v>https://www.dropbox.com/scl/fi/2wuhd4y7vhdpswjy6pmpv/IMG_2011.JPG?rlkey=sjxrqsh6pxotdx42x4b2bf6hz&amp;dl=0</v>
      </c>
      <c r="E299" t="str">
        <v>N/A</v>
      </c>
      <c r="F299" t="str">
        <v>N/A</v>
      </c>
      <c r="G299" t="str">
        <v>N/A</v>
      </c>
      <c r="H299" t="str">
        <v>N</v>
      </c>
      <c r="I299" t="str">
        <v>S1</v>
      </c>
      <c r="J299" t="str">
        <f>IF(AND(OR(K299="L", K299="M"), OR(L299="H", L299="M"), OR(M299="H", M299="M")),"Y","N")</f>
        <v>Y</v>
      </c>
      <c r="K299" t="str">
        <v>L</v>
      </c>
      <c r="L299" t="str">
        <v>H</v>
      </c>
      <c r="M299" t="str">
        <v>H</v>
      </c>
    </row>
    <row r="300">
      <c r="A300" t="str">
        <v>Psalms 107:22</v>
      </c>
      <c r="B300" t="str">
        <v>A couple of swan in lake</v>
      </c>
      <c r="C300">
        <v>45624</v>
      </c>
      <c r="D300" t="str">
        <v>https://www.dropbox.com/scl/fi/6w0amqjoie1vxhi42m5je/IMG_2015.JPG?rlkey=xipr4epjxtg2jlaiv83ggleia&amp;dl=0</v>
      </c>
      <c r="E300" t="str">
        <v>N/A</v>
      </c>
      <c r="F300" t="str">
        <v>N/A</v>
      </c>
      <c r="G300" t="str">
        <v>N/A</v>
      </c>
      <c r="H300" t="str">
        <v>N</v>
      </c>
      <c r="I300" t="str">
        <v>S1</v>
      </c>
      <c r="J300" t="str">
        <f>IF(AND(OR(K300="L", K300="M"), OR(L300="H", L300="M"), OR(M300="H", M300="M")),"Y","N")</f>
        <v>Y</v>
      </c>
      <c r="K300" t="str">
        <v>L</v>
      </c>
      <c r="L300" t="str">
        <v>M</v>
      </c>
      <c r="M300" t="str">
        <v>M</v>
      </c>
    </row>
    <row r="301">
      <c r="A301" t="str">
        <v>Job 9:8</v>
      </c>
      <c r="B301" t="str">
        <v>Sunrise at beach</v>
      </c>
      <c r="C301">
        <v>45648</v>
      </c>
      <c r="D301" t="str">
        <v>https://www.dropbox.com/scl/fi/9evkp5c4lglysfq7mlyr1/IMG_2018.JPG?rlkey=04hhik8gxedvvdyxz3qrur7hj&amp;dl=0</v>
      </c>
      <c r="E301" t="str">
        <v>N/A</v>
      </c>
      <c r="F301" t="str">
        <v>N/A</v>
      </c>
      <c r="G301" t="str">
        <v>N/A</v>
      </c>
      <c r="H301" t="str">
        <v>N</v>
      </c>
      <c r="I301" t="str">
        <v>S1</v>
      </c>
      <c r="J301" t="str">
        <f>IF(AND(OR(K301="L", K301="M"), OR(L301="H", L301="M"), OR(M301="H", M301="M")),"Y","N")</f>
        <v>Y</v>
      </c>
      <c r="K301" t="str">
        <v>L</v>
      </c>
      <c r="L301" t="str">
        <v>M</v>
      </c>
      <c r="M301" t="str">
        <v>H</v>
      </c>
    </row>
    <row r="302">
      <c r="A302" t="str">
        <v>Psalms 113:3</v>
      </c>
      <c r="B302" t="str">
        <v>Sunrise and sunset in the mountains</v>
      </c>
      <c r="C302">
        <v>45657</v>
      </c>
      <c r="D302" t="str">
        <v>https://www.dropbox.com/scl/fi/8uzb28qie70arj7kor48j/IMG_2021.JPG?rlkey=3439p3d2lv3yix0s14boytytv&amp;dl=0</v>
      </c>
      <c r="E302" t="str">
        <v>N/A</v>
      </c>
      <c r="F302" t="str">
        <v>N/A</v>
      </c>
      <c r="G302" t="str">
        <v>N/A</v>
      </c>
      <c r="H302" t="str">
        <v>N</v>
      </c>
      <c r="I302" t="str">
        <v>S1</v>
      </c>
      <c r="J302" t="str">
        <f>IF(AND(OR(K302="L", K302="M"), OR(L302="H", L302="M"), OR(M302="H", M302="M")),"Y","N")</f>
        <v>Y</v>
      </c>
      <c r="K302" t="str">
        <v>L</v>
      </c>
      <c r="L302" t="str">
        <v>M</v>
      </c>
      <c r="M302" t="str">
        <v>M</v>
      </c>
    </row>
    <row r="303">
      <c r="A303" t="str">
        <v>1 Corinthians 13:4-8</v>
      </c>
      <c r="B303" t="str">
        <v>White loving swan family</v>
      </c>
      <c r="C303">
        <v>45692</v>
      </c>
      <c r="D303" t="str">
        <v>https://www.dropbox.com/scl/fi/as0gtaaggjr1f2lovrp0v/IMG_2027.JPG?rlkey=xt54rkzjfka2l4sbzb29z85my&amp;dl=0</v>
      </c>
      <c r="E303" t="str">
        <v>N/A</v>
      </c>
      <c r="F303" t="str">
        <v>N/A</v>
      </c>
      <c r="G303" t="str">
        <v>N/A</v>
      </c>
      <c r="H303" t="str">
        <v>N</v>
      </c>
      <c r="I303" t="str">
        <v>S2</v>
      </c>
      <c r="J303" t="str">
        <f>IF(AND(OR(K303="L", K303="M"), OR(L303="H", L303="M"), OR(M303="H", M303="M")),"Y","N")</f>
        <v>Y</v>
      </c>
      <c r="K303" t="str">
        <v>L</v>
      </c>
      <c r="L303" t="str">
        <v>H</v>
      </c>
      <c r="M303" t="str">
        <v>H</v>
      </c>
    </row>
    <row r="305">
      <c r="A305" t="str">
        <v>Summary</v>
      </c>
      <c r="G305" t="str">
        <v>S1</v>
      </c>
      <c r="H305">
        <f>COUNTIF(H$2:H$303,"S1")</f>
        <v>0</v>
      </c>
      <c r="I305">
        <f>COUNTIF(I$2:I$303,"S1")</f>
        <v>150</v>
      </c>
    </row>
    <row r="306">
      <c r="G306" t="str">
        <v>S2</v>
      </c>
      <c r="H306">
        <f>COUNTIF(H$2:H$303,"S2")</f>
        <v>0</v>
      </c>
      <c r="I306">
        <f>COUNTIF(I$2:I$303,"S2")</f>
        <v>26</v>
      </c>
    </row>
    <row r="307">
      <c r="G307" t="str">
        <v>S3</v>
      </c>
      <c r="H307">
        <f>COUNTIF(H$2:H$303,"S3")</f>
        <v>0</v>
      </c>
      <c r="I307">
        <f>COUNTIF(I$2:I$303,"S3")</f>
        <v>31</v>
      </c>
    </row>
    <row r="308">
      <c r="G308" t="str">
        <v>N</v>
      </c>
      <c r="H308">
        <f>COUNTIF(H$2:H$303,"N")</f>
        <v>194</v>
      </c>
      <c r="I308">
        <f>COUNTIF(I$2:I$303,"N")</f>
        <v>95</v>
      </c>
    </row>
    <row r="309">
      <c r="G309" t="str">
        <v>Y</v>
      </c>
      <c r="H309">
        <f>COUNTIF(H$2:H$303,"Y")</f>
        <v>108</v>
      </c>
      <c r="I309">
        <f>COUNTIF(I$2:I$303,"Y")</f>
        <v>0</v>
      </c>
    </row>
    <row r="310">
      <c r="G310" t="str">
        <v>Total</v>
      </c>
      <c r="H310">
        <f>SUM(H305:H309)</f>
        <v>302</v>
      </c>
      <c r="I310">
        <f>SUM(I305:I309)</f>
        <v>302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G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G116" r:id="rId117"/>
    <hyperlink ref="D117" r:id="rId118"/>
    <hyperlink ref="D118" r:id="rId119"/>
    <hyperlink ref="D119" r:id="rId120"/>
    <hyperlink ref="D120" r:id="rId121"/>
    <hyperlink ref="D121" r:id="rId122"/>
    <hyperlink ref="D122" r:id="rId123"/>
    <hyperlink ref="D123" r:id="rId124"/>
    <hyperlink ref="D124" r:id="rId125"/>
    <hyperlink ref="D125" r:id="rId126"/>
    <hyperlink ref="D126" r:id="rId127"/>
    <hyperlink ref="D127" r:id="rId128"/>
    <hyperlink ref="D128" r:id="rId129"/>
    <hyperlink ref="D129" r:id="rId130"/>
    <hyperlink ref="D130" r:id="rId131"/>
    <hyperlink ref="D131" r:id="rId132"/>
    <hyperlink ref="G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D158" r:id="rId160"/>
    <hyperlink ref="D159" r:id="rId161"/>
    <hyperlink ref="D160" r:id="rId162"/>
    <hyperlink ref="D161" r:id="rId163"/>
    <hyperlink ref="D162" r:id="rId164"/>
    <hyperlink ref="D163" r:id="rId165"/>
    <hyperlink ref="D164" r:id="rId166"/>
    <hyperlink ref="D165" r:id="rId167"/>
    <hyperlink ref="D166" r:id="rId168"/>
    <hyperlink ref="D167" r:id="rId169"/>
    <hyperlink ref="D168" r:id="rId170"/>
    <hyperlink ref="D169" r:id="rId171"/>
    <hyperlink ref="D170" r:id="rId172"/>
    <hyperlink ref="D171" r:id="rId173"/>
    <hyperlink ref="D172" r:id="rId174"/>
    <hyperlink ref="D173" r:id="rId175"/>
    <hyperlink ref="D174" r:id="rId176"/>
    <hyperlink ref="D175" r:id="rId177"/>
    <hyperlink ref="D176" r:id="rId178"/>
    <hyperlink ref="D177" r:id="rId179"/>
    <hyperlink ref="D178" r:id="rId180"/>
    <hyperlink ref="D179" r:id="rId181"/>
    <hyperlink ref="D180" r:id="rId182"/>
    <hyperlink ref="F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 ref="D191" r:id="rId194"/>
    <hyperlink ref="D192" r:id="rId195"/>
    <hyperlink ref="D193" r:id="rId196"/>
    <hyperlink ref="D194" r:id="rId197"/>
    <hyperlink ref="D195" r:id="rId198"/>
    <hyperlink ref="D196" r:id="rId199"/>
    <hyperlink ref="D197" r:id="rId200"/>
    <hyperlink ref="D198" r:id="rId201"/>
    <hyperlink ref="D199" r:id="rId202"/>
    <hyperlink ref="D200" r:id="rId203"/>
    <hyperlink ref="D201" r:id="rId204"/>
    <hyperlink ref="D202" r:id="rId205"/>
    <hyperlink ref="D203" r:id="rId206"/>
    <hyperlink ref="D204" r:id="rId207"/>
    <hyperlink ref="D205" r:id="rId208"/>
    <hyperlink ref="D206" r:id="rId209"/>
    <hyperlink ref="D207" r:id="rId210"/>
    <hyperlink ref="D208" r:id="rId211"/>
    <hyperlink ref="D209" r:id="rId212"/>
    <hyperlink ref="D210" r:id="rId213"/>
    <hyperlink ref="D211" r:id="rId214"/>
    <hyperlink ref="D212" r:id="rId215"/>
    <hyperlink ref="D213" r:id="rId216"/>
    <hyperlink ref="D214" r:id="rId217"/>
    <hyperlink ref="D215" r:id="rId218"/>
    <hyperlink ref="D216" r:id="rId219"/>
    <hyperlink ref="D217" r:id="rId220"/>
    <hyperlink ref="D218" r:id="rId221"/>
    <hyperlink ref="D219" r:id="rId222"/>
    <hyperlink ref="D220" r:id="rId223"/>
    <hyperlink ref="D221" r:id="rId224"/>
    <hyperlink ref="D222" r:id="rId225"/>
    <hyperlink ref="D223" r:id="rId226"/>
    <hyperlink ref="D224" r:id="rId227"/>
    <hyperlink ref="D225" r:id="rId228"/>
    <hyperlink ref="D226" r:id="rId229"/>
    <hyperlink ref="D227" r:id="rId230"/>
    <hyperlink ref="D228" r:id="rId231"/>
    <hyperlink ref="D229" r:id="rId232"/>
    <hyperlink ref="D230" r:id="rId233"/>
    <hyperlink ref="D231" r:id="rId234"/>
    <hyperlink ref="D232" r:id="rId235"/>
    <hyperlink ref="D233" r:id="rId236"/>
    <hyperlink ref="D234" r:id="rId237"/>
    <hyperlink ref="D235" r:id="rId238"/>
    <hyperlink ref="D236" r:id="rId239"/>
    <hyperlink ref="D237" r:id="rId240"/>
    <hyperlink ref="D238" r:id="rId241"/>
    <hyperlink ref="D239" r:id="rId242"/>
    <hyperlink ref="D240" r:id="rId243"/>
    <hyperlink ref="D241" r:id="rId244"/>
    <hyperlink ref="D242" r:id="rId245"/>
    <hyperlink ref="D243" r:id="rId246"/>
    <hyperlink ref="D244" r:id="rId247"/>
    <hyperlink ref="D245" r:id="rId248"/>
    <hyperlink ref="D246" r:id="rId249"/>
    <hyperlink ref="D247" r:id="rId250"/>
    <hyperlink ref="D248" r:id="rId251"/>
    <hyperlink ref="D249" r:id="rId252"/>
    <hyperlink ref="D250" r:id="rId253"/>
    <hyperlink ref="D251" r:id="rId254"/>
    <hyperlink ref="D252" r:id="rId255"/>
    <hyperlink ref="D253" r:id="rId256"/>
    <hyperlink ref="D254" r:id="rId257"/>
    <hyperlink ref="D255" r:id="rId258"/>
    <hyperlink ref="D256" r:id="rId259"/>
    <hyperlink ref="D257" r:id="rId260"/>
    <hyperlink ref="D258" r:id="rId261"/>
    <hyperlink ref="D259" r:id="rId262"/>
    <hyperlink ref="D260" r:id="rId263"/>
    <hyperlink ref="D261" r:id="rId264"/>
    <hyperlink ref="D262" r:id="rId265"/>
    <hyperlink ref="D263" r:id="rId266"/>
    <hyperlink ref="D264" r:id="rId267"/>
    <hyperlink ref="D265" r:id="rId268"/>
    <hyperlink ref="D266" r:id="rId269"/>
    <hyperlink ref="D267" r:id="rId270"/>
    <hyperlink ref="D268" r:id="rId271"/>
    <hyperlink ref="D269" r:id="rId272"/>
    <hyperlink ref="D270" r:id="rId273"/>
    <hyperlink ref="D271" r:id="rId274"/>
    <hyperlink ref="D272" r:id="rId275"/>
    <hyperlink ref="D273" r:id="rId276"/>
    <hyperlink ref="D274" r:id="rId277"/>
    <hyperlink ref="D275" r:id="rId278"/>
    <hyperlink ref="D276" r:id="rId279"/>
    <hyperlink ref="D277" r:id="rId280"/>
    <hyperlink ref="D278" r:id="rId281"/>
    <hyperlink ref="D279" r:id="rId282"/>
    <hyperlink ref="D280" r:id="rId283"/>
    <hyperlink ref="D281" r:id="rId284"/>
    <hyperlink ref="D282" r:id="rId285"/>
    <hyperlink ref="D283" r:id="rId286"/>
    <hyperlink ref="D284" r:id="rId287"/>
    <hyperlink ref="D285" r:id="rId288"/>
    <hyperlink ref="D286" r:id="rId289"/>
    <hyperlink ref="D287" r:id="rId290"/>
    <hyperlink ref="D288" r:id="rId291"/>
    <hyperlink ref="D289" r:id="rId292"/>
    <hyperlink ref="D290" r:id="rId293"/>
    <hyperlink ref="D291" r:id="rId294"/>
    <hyperlink ref="D292" r:id="rId295"/>
    <hyperlink ref="D293" r:id="rId296"/>
    <hyperlink ref="D294" r:id="rId297"/>
    <hyperlink ref="D295" r:id="rId298"/>
    <hyperlink ref="D296" r:id="rId299"/>
    <hyperlink ref="D297" r:id="rId300"/>
    <hyperlink ref="D298" r:id="rId301"/>
    <hyperlink ref="D299" r:id="rId302"/>
    <hyperlink ref="D300" r:id="rId303"/>
    <hyperlink ref="D301" r:id="rId304"/>
    <hyperlink ref="D302" r:id="rId305"/>
    <hyperlink ref="D303" r:id="rId306"/>
  </hyperlinks>
  <pageMargins left="0.7" right="0.7" top="0.75" bottom="0.75" header="0.3" footer="0.3"/>
  <ignoredErrors>
    <ignoredError numberStoredAsText="1" sqref="A1:M31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2025-05-20T01:03:41Z</dcterms:created>
  <dcterms:modified xsi:type="dcterms:W3CDTF">2025-06-09T02:10:52Z</dcterms:modified>
  <cp:lastModifiedBy>Twelve Baskets Full</cp:lastModifiedBy>
  <dc:creator>Twelve Baskets Full</dc:creator>
</cp:coreProperties>
</file>